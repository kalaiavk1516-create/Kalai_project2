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900" activeTab="2"/>
  </bookViews>
  <sheets>
    <sheet name="Dataset" sheetId="1" r:id="rId1"/>
    <sheet name="Workout sheet" sheetId="2" r:id="rId2"/>
    <sheet name="full clean 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<sst xmlns="http://schemas.openxmlformats.org/spreadsheetml/2006/main" count="492" uniqueCount="154">
  <si>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</si>
  <si>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</si>
  <si>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</si>
  <si>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</si>
  <si>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</si>
  <si>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</si>
  <si>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</si>
  <si>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</si>
  <si>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</si>
  <si>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</si>
  <si>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</si>
  <si>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</si>
  <si>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</si>
  <si>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</si>
  <si>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</si>
  <si>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</si>
  <si>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</si>
  <si>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</si>
  <si>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</si>
  <si>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</si>
  <si>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</si>
  <si>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</si>
  <si>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</si>
  <si>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</si>
  <si>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</si>
  <si>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</si>
  <si>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</si>
  <si>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</si>
  <si>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</si>
  <si>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</si>
  <si>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</si>
  <si>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</si>
  <si>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</si>
  <si>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</si>
  <si>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</si>
  <si>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</si>
  <si>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</si>
  <si>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</si>
  <si>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</si>
  <si>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</si>
  <si>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</si>
  <si>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</si>
  <si>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</si>
  <si>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</si>
  <si>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</si>
  <si>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</si>
  <si>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</si>
  <si>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</si>
  <si>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</si>
  <si>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</si>
  <si>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</si>
  <si>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</si>
  <si>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</si>
  <si>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</si>
  <si>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</si>
  <si>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</si>
  <si>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</si>
  <si>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</si>
  <si>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</si>
  <si>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</si>
  <si>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</si>
  <si>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</si>
  <si>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</si>
  <si>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</si>
  <si>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</si>
  <si>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</si>
  <si>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</si>
  <si>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</si>
  <si>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</si>
  <si>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</si>
  <si>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</si>
  <si>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</si>
  <si>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</si>
  <si>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</si>
  <si>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</si>
  <si>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</si>
  <si>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</si>
  <si>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</si>
  <si>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</si>
  <si>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</si>
  <si>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</si>
  <si>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</si>
  <si>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</si>
  <si>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</si>
  <si>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</si>
  <si>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</si>
  <si>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</si>
  <si>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</si>
  <si>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</si>
  <si>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</si>
  <si>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</si>
  <si>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</si>
  <si>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</si>
  <si>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Column1</t>
  </si>
  <si>
    <t>Clean, Trim, Proper</t>
  </si>
  <si>
    <t>Clean, Trim, Proper2</t>
  </si>
  <si>
    <t>Clean, Trim, Proper3</t>
  </si>
  <si>
    <t>Missing price</t>
  </si>
  <si>
    <t>Product ID2</t>
  </si>
  <si>
    <t>Country Code</t>
  </si>
  <si>
    <t>Date</t>
  </si>
  <si>
    <t>Brand product</t>
  </si>
  <si>
    <t>Conditional formatting</t>
  </si>
  <si>
    <t>DATE2</t>
  </si>
  <si>
    <t>Total Electronics value   =SUMIF(P2:P33,"Electronics",K2:K33)</t>
  </si>
  <si>
    <t>Total fashion value  =SUMIF(P2:P33,"Fashion",K2:K33)</t>
  </si>
  <si>
    <t>Total Kitchen value =SUMIF(P2:P33,"Kitchen",K2:K33)</t>
  </si>
  <si>
    <t>Total outdoor =SUMIF(P2:P33,"Outdoor",K2:K33)</t>
  </si>
  <si>
    <t>Total Accessories   =SUMIF(P2:P33,"Accessories",K2:K33)</t>
  </si>
  <si>
    <t>28-01-2026</t>
  </si>
  <si>
    <t>US</t>
  </si>
  <si>
    <t>15-02-2026</t>
  </si>
  <si>
    <t>03-03-2026</t>
  </si>
  <si>
    <t>11-04-2026</t>
  </si>
  <si>
    <t>22-05-2026</t>
  </si>
  <si>
    <t>07-06-2026</t>
  </si>
  <si>
    <t>UK</t>
  </si>
  <si>
    <t>19-07-2026</t>
  </si>
  <si>
    <t>T-Shirt</t>
  </si>
  <si>
    <t>23-08-2026</t>
  </si>
  <si>
    <t>05-09-2026</t>
  </si>
  <si>
    <t>14-10-2026</t>
  </si>
  <si>
    <t>17-06-2026</t>
  </si>
  <si>
    <t>IN</t>
  </si>
  <si>
    <t>Hp</t>
  </si>
  <si>
    <t>25-11-2026</t>
  </si>
  <si>
    <t>AU</t>
  </si>
  <si>
    <t>08-12-2026</t>
  </si>
  <si>
    <t>DE</t>
  </si>
  <si>
    <t>18-02-2026</t>
  </si>
  <si>
    <t>CA</t>
  </si>
  <si>
    <t>16-04-2026</t>
  </si>
  <si>
    <t>ES</t>
  </si>
  <si>
    <t>21-08-2026</t>
  </si>
  <si>
    <t>20-08-2026</t>
  </si>
  <si>
    <t>CN</t>
  </si>
  <si>
    <t>27-01-2026</t>
  </si>
  <si>
    <t>IT</t>
  </si>
  <si>
    <t>01-03-2026</t>
  </si>
  <si>
    <t>14-08-2026</t>
  </si>
  <si>
    <t>14-05-2026</t>
  </si>
  <si>
    <t>RU</t>
  </si>
  <si>
    <t>09-01-2026</t>
  </si>
  <si>
    <t>BR</t>
  </si>
  <si>
    <t>29-09-2026</t>
  </si>
  <si>
    <t>03-06-2026</t>
  </si>
  <si>
    <t>11-07-2026</t>
  </si>
  <si>
    <t>07-03-2026</t>
  </si>
  <si>
    <t>13-04-2026</t>
  </si>
  <si>
    <t>24-05-2026</t>
  </si>
  <si>
    <t>02-12-2026</t>
  </si>
  <si>
    <t>Levi'S</t>
  </si>
  <si>
    <t>09-07-2026</t>
  </si>
  <si>
    <t>FR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</si>
</sst>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₹&quot;#,##0.00_);[Red]\(&quot;₹&quot;#,##0.00\)"/>
    <numFmt numFmtId="181" formatCode="[$-809]dd\ mmmm\ yyyy;@"/>
    <numFmt numFmtId="182" formatCode="dd/mm/yyyy"/>
  </numFmts>
  <fonts count="23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6" tint="0.4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32">
    <xf numFmtId="0" fontId="0" fillId="0" borderId="0" xfId="0" applyFont="1" applyAlignment="1"/>
    <xf numFmtId="0" fontId="0" fillId="0" borderId="0" xfId="0" applyFont="1" applyAlignment="1">
      <alignment horizontal="center"/>
    </xf>
    <xf numFmtId="180" fontId="0" fillId="0" borderId="0" xfId="0" applyNumberFormat="1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180" fontId="1" fillId="2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80" fontId="2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80" fontId="2" fillId="3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180" fontId="2" fillId="0" borderId="1" xfId="0" applyNumberFormat="1" applyFont="1" applyFill="1" applyBorder="1" applyAlignment="1">
      <alignment horizontal="center"/>
    </xf>
    <xf numFmtId="181" fontId="0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/>
    </xf>
    <xf numFmtId="180" fontId="1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180" fontId="1" fillId="0" borderId="0" xfId="0" applyNumberFormat="1" applyFont="1" applyAlignment="1">
      <alignment horizontal="center"/>
    </xf>
    <xf numFmtId="181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80" fontId="2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center"/>
    </xf>
    <xf numFmtId="0" fontId="0" fillId="0" borderId="0" xfId="0" applyNumberFormat="1" applyFont="1" applyAlignment="1">
      <alignment horizontal="center"/>
    </xf>
    <xf numFmtId="182" fontId="0" fillId="0" borderId="0" xfId="0" applyNumberFormat="1" applyFont="1" applyAlignment="1">
      <alignment horizontal="center"/>
    </xf>
    <xf numFmtId="182" fontId="2" fillId="3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180" fontId="2" fillId="3" borderId="0" xfId="0" applyNumberFormat="1" applyFont="1" applyFill="1" applyAlignment="1">
      <alignment horizontal="center"/>
    </xf>
    <xf numFmtId="0" fontId="0" fillId="4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180" fontId="2" fillId="0" borderId="0" xfId="0" applyNumberFormat="1" applyFont="1" applyFill="1" applyAlignment="1">
      <alignment horizontal="center"/>
    </xf>
    <xf numFmtId="180" fontId="0" fillId="0" borderId="0" xfId="0" applyNumberFormat="1" applyFont="1" applyAlignment="1"/>
    <xf numFmtId="0" fontId="2" fillId="0" borderId="0" xfId="0" applyFont="1"/>
    <xf numFmtId="0" fontId="2" fillId="3" borderId="0" xfId="0" applyFont="1" applyFill="1"/>
    <xf numFmtId="0" fontId="2" fillId="5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50"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alignment horizontal="center"/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alignment horizontal="center"/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alignment horizontal="center"/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numFmt numFmtId="180" formatCode="&quot;₹&quot;#,##0.00_);[Red]\(&quot;₹&quot;#,##0.00\)"/>
      <alignment horizontal="center"/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alignment horizontal="center"/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alignment horizontal="center"/>
    </dxf>
    <dxf>
      <alignment horizontal="center"/>
    </dxf>
    <dxf>
      <numFmt numFmtId="0" formatCode="General"/>
      <alignment horizontal="center"/>
    </dxf>
    <dxf>
      <numFmt numFmtId="0" formatCode="General"/>
      <alignment horizontal="center"/>
    </dxf>
    <dxf>
      <numFmt numFmtId="0" formatCode="General"/>
    </dxf>
    <dxf>
      <numFmt numFmtId="180" formatCode="&quot;₹&quot;#,##0.00_);[Red]\(&quot;₹&quot;#,##0.00\)"/>
    </dxf>
    <dxf>
      <numFmt numFmtId="0" formatCode="General"/>
    </dxf>
    <dxf>
      <numFmt numFmtId="0" formatCode="General"/>
    </dxf>
    <dxf>
      <numFmt numFmtId="181" formatCode="[$-809]dd\ mmmm\ yyyy;@"/>
    </dxf>
    <dxf>
      <numFmt numFmtId="0" formatCode="General"/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numFmt numFmtId="0" formatCode="General"/>
    </dxf>
    <dxf>
      <fill>
        <patternFill patternType="solid">
          <bgColor theme="6" tint="-0.25"/>
        </patternFill>
      </fill>
    </dxf>
    <dxf>
      <font>
        <color rgb="FF9C0006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alignment horizontal="center"/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alignment horizontal="center"/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alignment horizontal="center"/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numFmt numFmtId="180" formatCode="&quot;₹&quot;#,##0.00_);[Red]\(&quot;₹&quot;#,##0.00\)"/>
      <alignment horizontal="center"/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alignment horizontal="center"/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alignment horizontal="center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39"/>
      <tableStyleElement type="headerRow" dxfId="38"/>
      <tableStyleElement type="totalRow" dxfId="37"/>
      <tableStyleElement type="firstColumn" dxfId="36"/>
      <tableStyleElement type="lastColumn" dxfId="35"/>
      <tableStyleElement type="firstRowStripe" dxfId="34"/>
      <tableStyleElement type="firstColumnStripe" dxfId="33"/>
    </tableStyle>
    <tableStyle name="PivotStylePreset2_Accent1" table="0" count="10" xr9:uid="{267968C8-6FFD-4C36-ACC1-9EA1FD1885CA}">
      <tableStyleElement type="headerRow" dxfId="49"/>
      <tableStyleElement type="totalRow" dxfId="48"/>
      <tableStyleElement type="firstRowStripe" dxfId="47"/>
      <tableStyleElement type="firstColumnStripe" dxfId="46"/>
      <tableStyleElement type="firstSubtotalRow" dxfId="45"/>
      <tableStyleElement type="secondSubtotalRow" dxfId="44"/>
      <tableStyleElement type="firstRowSubheading" dxfId="43"/>
      <tableStyleElement type="secondRowSubheading" dxfId="42"/>
      <tableStyleElement type="pageFieldLabels" dxfId="41"/>
      <tableStyleElement type="pageFieldValues" dxfId="4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F35" totalsRowShown="0">
  <autoFilter xmlns:etc="http://www.wps.cn/officeDocument/2017/etCustomData" ref="A1:F35" etc:filterBottomFollowUsedRange="0"/>
  <tableColumns count="6">
    <tableColumn id="1" name="Product ID" dataDxfId="0"/>
    <tableColumn id="2" name="Product Name" dataDxfId="1"/>
    <tableColumn id="3" name="Brand Name" dataDxfId="2"/>
    <tableColumn id="4" name="Price ($)" dataDxfId="3"/>
    <tableColumn id="5" name="Quantity" dataDxfId="4"/>
    <tableColumn id="6" name="Category" dataDxfId="5"/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id="2" name="Table1_3" displayName="Table1_3" ref="A1:Q33" totalsRowShown="0">
  <autoFilter xmlns:etc="http://www.wps.cn/officeDocument/2017/etCustomData" ref="A1:Q33" etc:filterBottomFollowUsedRange="0"/>
  <tableColumns count="17">
    <tableColumn id="1" name="Product ID" dataDxfId="6"/>
    <tableColumn id="2" name="Product Name" dataDxfId="7"/>
    <tableColumn id="3" name="Brand Name" dataDxfId="8"/>
    <tableColumn id="4" name="Price ($)" dataDxfId="9"/>
    <tableColumn id="5" name="Quantity" dataDxfId="10"/>
    <tableColumn id="6" name="Category" dataDxfId="11"/>
    <tableColumn id="9" name="Column1" dataDxfId="12"/>
    <tableColumn id="7" name="Clean, Trim, Proper" dataDxfId="13">
      <calculatedColumnFormula>PROPER(TRIM(CLEAN(B2)))</calculatedColumnFormula>
    </tableColumn>
    <tableColumn id="8" name="Clean, Trim, Proper2" dataDxfId="14">
      <calculatedColumnFormula>PROPER(TRIM(CLEAN(D2)))</calculatedColumnFormula>
    </tableColumn>
    <tableColumn id="10" name="Clean, Trim, Proper3" dataDxfId="15">
      <calculatedColumnFormula>PROPER(TRIM(CLEAN(F2)))</calculatedColumnFormula>
    </tableColumn>
    <tableColumn id="11" name="Missing price" dataDxfId="16">
      <calculatedColumnFormula>IF(D2,D2,"missing")</calculatedColumnFormula>
    </tableColumn>
    <tableColumn id="12" name="Product ID2" dataDxfId="17">
      <calculatedColumnFormula>PROPER(TRIM(CLEAN(A2)))</calculatedColumnFormula>
    </tableColumn>
    <tableColumn id="13" name="Country Code" dataDxfId="18">
      <calculatedColumnFormula>RIGHT(A2,2)</calculatedColumnFormula>
    </tableColumn>
    <tableColumn id="14" name="Date" dataDxfId="19">
      <calculatedColumnFormula>LEFT(A2,6)</calculatedColumnFormula>
    </tableColumn>
    <tableColumn id="15" name="Brand product" dataDxfId="20">
      <calculatedColumnFormula>CONCATENATE(H2," ",I2)</calculatedColumnFormula>
    </tableColumn>
    <tableColumn id="16" name="Conditional formatting" dataDxfId="21"/>
    <tableColumn id="18" name="DATE2" dataDxfId="22">
      <calculatedColumnFormula>TEXT(M2,"DD-MM-YYYY")</calculatedColumnFormula>
    </tableColumn>
  </tableColumns>
  <tableStyleInfo name="TableStylePreset3_Accent1" showFirstColumn="0" showLastColumn="0" showRowStripes="1" showColumnStripes="0"/>
</table>
</file>

<file path=xl/tables/table3.xml><?xml version="1.0" encoding="utf-8"?>
<table xmlns="http://schemas.openxmlformats.org/spreadsheetml/2006/main" id="3" name="Table1_4" displayName="Table1_4" ref="A1:H33" totalsRowShown="0">
  <tableColumns count="8">
    <tableColumn id="1" name="Product ID" dataDxfId="25"/>
    <tableColumn id="7" name="Country Code" dataDxfId="26"/>
    <tableColumn id="2" name="Product Name" dataDxfId="27"/>
    <tableColumn id="3" name="Brand Name" dataDxfId="28"/>
    <tableColumn id="4" name="Price ($)" dataDxfId="29"/>
    <tableColumn id="5" name="Quantity" dataDxfId="30"/>
    <tableColumn id="6" name="Category" dataDxfId="31"/>
    <tableColumn id="8" name="Brand product" dataDxfId="32">
      <calculatedColumnFormula>CONCATENATE(C2," ",D2)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1000"/>
  <sheetViews>
    <sheetView workbookViewId="0">
      <selection activeCell="E14" sqref="E14"/>
    </sheetView>
  </sheetViews>
  <sheetFormatPr defaultColWidth="12.6285714285714" defaultRowHeight="15" customHeight="1" outlineLevelCol="6"/>
  <cols>
    <col min="2" max="2" width="14.1333333333333" customWidth="1"/>
  </cols>
  <sheetData>
    <row r="1" ht="15.75" customHeight="1" spans="1:7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4"/>
    </row>
    <row r="2" ht="15.75" customHeight="1" spans="1:7">
      <c r="A2" s="29" t="s">
        <v>6</v>
      </c>
      <c r="B2" s="29" t="s">
        <v>7</v>
      </c>
      <c r="C2" s="29" t="s">
        <v>8</v>
      </c>
      <c r="D2" s="29">
        <v>1000</v>
      </c>
      <c r="E2" s="29">
        <v>30</v>
      </c>
      <c r="F2" s="29" t="s">
        <v>9</v>
      </c>
      <c r="G2" s="29"/>
    </row>
    <row r="3" ht="15.75" customHeight="1" spans="1:7">
      <c r="A3" s="30" t="s">
        <v>10</v>
      </c>
      <c r="B3" s="30" t="s">
        <v>11</v>
      </c>
      <c r="C3" s="30" t="s">
        <v>12</v>
      </c>
      <c r="D3" s="30">
        <v>80</v>
      </c>
      <c r="E3" s="30">
        <v>15</v>
      </c>
      <c r="F3" s="30" t="s">
        <v>13</v>
      </c>
      <c r="G3" s="29"/>
    </row>
    <row r="4" ht="15.75" customHeight="1" spans="1:7">
      <c r="A4" s="29" t="s">
        <v>14</v>
      </c>
      <c r="B4" s="29" t="s">
        <v>15</v>
      </c>
      <c r="C4" s="29" t="s">
        <v>16</v>
      </c>
      <c r="D4" s="29">
        <v>130</v>
      </c>
      <c r="E4" s="29">
        <v>40</v>
      </c>
      <c r="F4" s="29" t="s">
        <v>17</v>
      </c>
      <c r="G4" s="29"/>
    </row>
    <row r="5" ht="15.75" customHeight="1" spans="1:7">
      <c r="A5" s="30" t="s">
        <v>18</v>
      </c>
      <c r="B5" s="30" t="s">
        <v>19</v>
      </c>
      <c r="C5" s="30" t="s">
        <v>20</v>
      </c>
      <c r="D5" s="30">
        <v>900</v>
      </c>
      <c r="E5" s="30">
        <v>25</v>
      </c>
      <c r="F5" s="30" t="s">
        <v>9</v>
      </c>
      <c r="G5" s="29"/>
    </row>
    <row r="6" ht="15.75" customHeight="1" spans="1:7">
      <c r="A6" s="29" t="s">
        <v>21</v>
      </c>
      <c r="B6" s="29" t="s">
        <v>22</v>
      </c>
      <c r="C6" s="29" t="s">
        <v>23</v>
      </c>
      <c r="D6" s="29">
        <v>70</v>
      </c>
      <c r="E6" s="29">
        <v>20</v>
      </c>
      <c r="F6" s="29" t="s">
        <v>24</v>
      </c>
      <c r="G6" s="29"/>
    </row>
    <row r="7" ht="15.75" customHeight="1" spans="1:7">
      <c r="A7" s="30" t="s">
        <v>25</v>
      </c>
      <c r="B7" s="30" t="s">
        <v>26</v>
      </c>
      <c r="C7" s="30" t="s">
        <v>27</v>
      </c>
      <c r="D7" s="30">
        <v>200</v>
      </c>
      <c r="E7" s="30">
        <v>45</v>
      </c>
      <c r="F7" s="30" t="s">
        <v>9</v>
      </c>
      <c r="G7" s="29"/>
    </row>
    <row r="8" ht="15.75" customHeight="1" spans="1:7">
      <c r="A8" s="29" t="s">
        <v>28</v>
      </c>
      <c r="B8" s="29" t="s">
        <v>29</v>
      </c>
      <c r="C8" s="29" t="s">
        <v>30</v>
      </c>
      <c r="D8" s="29">
        <v>30</v>
      </c>
      <c r="E8" s="29">
        <v>5</v>
      </c>
      <c r="F8" s="29" t="s">
        <v>13</v>
      </c>
      <c r="G8" s="29"/>
    </row>
    <row r="9" ht="15.75" customHeight="1" spans="1:7">
      <c r="A9" s="30" t="s">
        <v>31</v>
      </c>
      <c r="B9" s="30" t="s">
        <v>32</v>
      </c>
      <c r="C9" s="30" t="s">
        <v>33</v>
      </c>
      <c r="D9" s="30">
        <v>90</v>
      </c>
      <c r="E9" s="30">
        <v>35</v>
      </c>
      <c r="F9" s="30" t="s">
        <v>17</v>
      </c>
      <c r="G9" s="29"/>
    </row>
    <row r="10" ht="15.75" customHeight="1" spans="1:7">
      <c r="A10" s="29" t="s">
        <v>34</v>
      </c>
      <c r="B10" s="29" t="s">
        <v>35</v>
      </c>
      <c r="C10" s="29" t="s">
        <v>36</v>
      </c>
      <c r="D10" s="29">
        <v>500</v>
      </c>
      <c r="E10" s="29">
        <v>50</v>
      </c>
      <c r="F10" s="29" t="s">
        <v>9</v>
      </c>
      <c r="G10" s="29"/>
    </row>
    <row r="11" ht="15.75" customHeight="1" spans="1:7">
      <c r="A11" s="30" t="s">
        <v>37</v>
      </c>
      <c r="B11" s="30" t="s">
        <v>38</v>
      </c>
      <c r="C11" s="30" t="s">
        <v>39</v>
      </c>
      <c r="D11" s="30">
        <v>130</v>
      </c>
      <c r="E11" s="30">
        <v>10</v>
      </c>
      <c r="F11" s="30" t="s">
        <v>24</v>
      </c>
      <c r="G11" s="29"/>
    </row>
    <row r="12" ht="15.75" customHeight="1" spans="1:7">
      <c r="A12" s="29" t="s">
        <v>40</v>
      </c>
      <c r="B12" s="29" t="s">
        <v>7</v>
      </c>
      <c r="C12" s="29" t="s">
        <v>41</v>
      </c>
      <c r="D12" s="29">
        <v>950</v>
      </c>
      <c r="E12" s="29">
        <v>25</v>
      </c>
      <c r="F12" s="29" t="s">
        <v>9</v>
      </c>
      <c r="G12" s="29"/>
    </row>
    <row r="13" ht="15.75" customHeight="1" spans="1:7">
      <c r="A13" s="30" t="s">
        <v>42</v>
      </c>
      <c r="B13" s="30" t="s">
        <v>11</v>
      </c>
      <c r="C13" s="30" t="s">
        <v>30</v>
      </c>
      <c r="D13" s="30">
        <v>90</v>
      </c>
      <c r="E13" s="30">
        <v>40</v>
      </c>
      <c r="F13" s="30" t="s">
        <v>13</v>
      </c>
      <c r="G13" s="29"/>
    </row>
    <row r="14" ht="15.75" customHeight="1" spans="1:7">
      <c r="A14" s="29" t="s">
        <v>43</v>
      </c>
      <c r="B14" s="29" t="s">
        <v>15</v>
      </c>
      <c r="C14" s="29" t="s">
        <v>44</v>
      </c>
      <c r="D14" s="29">
        <v>120</v>
      </c>
      <c r="E14" s="29">
        <v>35</v>
      </c>
      <c r="F14" s="29" t="s">
        <v>17</v>
      </c>
      <c r="G14" s="29"/>
    </row>
    <row r="15" ht="15.75" customHeight="1" spans="1:7">
      <c r="A15" s="30" t="s">
        <v>45</v>
      </c>
      <c r="B15" s="30" t="s">
        <v>46</v>
      </c>
      <c r="C15" s="30" t="s">
        <v>47</v>
      </c>
      <c r="D15" s="30">
        <v>150</v>
      </c>
      <c r="E15" s="30">
        <v>15</v>
      </c>
      <c r="F15" s="30" t="s">
        <v>9</v>
      </c>
      <c r="G15" s="29"/>
    </row>
    <row r="16" ht="15.75" customHeight="1" spans="1:7">
      <c r="A16" s="29" t="s">
        <v>48</v>
      </c>
      <c r="B16" s="29" t="s">
        <v>26</v>
      </c>
      <c r="C16" s="29" t="s">
        <v>49</v>
      </c>
      <c r="D16" s="29">
        <v>250</v>
      </c>
      <c r="E16" s="29">
        <v>20</v>
      </c>
      <c r="F16" s="29" t="s">
        <v>9</v>
      </c>
      <c r="G16" s="29"/>
    </row>
    <row r="17" ht="15.75" customHeight="1" spans="1:7">
      <c r="A17" s="30" t="s">
        <v>50</v>
      </c>
      <c r="B17" s="30" t="s">
        <v>51</v>
      </c>
      <c r="C17" s="30" t="s">
        <v>52</v>
      </c>
      <c r="D17" s="30">
        <v>50</v>
      </c>
      <c r="E17" s="30">
        <v>35</v>
      </c>
      <c r="F17" s="30" t="s">
        <v>53</v>
      </c>
      <c r="G17" s="29"/>
    </row>
    <row r="18" ht="15.75" customHeight="1" spans="1:7">
      <c r="A18" s="29" t="s">
        <v>54</v>
      </c>
      <c r="B18" s="29" t="s">
        <v>46</v>
      </c>
      <c r="C18" s="29" t="s">
        <v>55</v>
      </c>
      <c r="D18" s="29">
        <v>160</v>
      </c>
      <c r="E18" s="29">
        <v>15</v>
      </c>
      <c r="F18" s="29" t="s">
        <v>9</v>
      </c>
      <c r="G18" s="29"/>
    </row>
    <row r="19" ht="15.75" customHeight="1" spans="1:7">
      <c r="A19" s="30" t="s">
        <v>56</v>
      </c>
      <c r="B19" s="30" t="s">
        <v>7</v>
      </c>
      <c r="C19" s="30" t="s">
        <v>57</v>
      </c>
      <c r="D19" s="30">
        <v>980</v>
      </c>
      <c r="E19" s="30">
        <v>10</v>
      </c>
      <c r="F19" s="30" t="s">
        <v>9</v>
      </c>
      <c r="G19" s="29"/>
    </row>
    <row r="20" ht="15.75" customHeight="1" spans="1:7">
      <c r="A20" s="29" t="s">
        <v>58</v>
      </c>
      <c r="B20" s="29" t="s">
        <v>59</v>
      </c>
      <c r="C20" s="29" t="s">
        <v>60</v>
      </c>
      <c r="D20" s="29">
        <v>150</v>
      </c>
      <c r="E20" s="29">
        <v>15</v>
      </c>
      <c r="F20" s="29" t="s">
        <v>13</v>
      </c>
      <c r="G20" s="29"/>
    </row>
    <row r="21" ht="15.75" customHeight="1" spans="1:7">
      <c r="A21" s="30" t="s">
        <v>61</v>
      </c>
      <c r="B21" s="30" t="s">
        <v>62</v>
      </c>
      <c r="C21" s="30" t="s">
        <v>63</v>
      </c>
      <c r="D21" s="30">
        <v>200</v>
      </c>
      <c r="E21" s="30">
        <v>10</v>
      </c>
      <c r="F21" s="30" t="s">
        <v>24</v>
      </c>
      <c r="G21" s="29"/>
    </row>
    <row r="22" ht="15.75" customHeight="1" spans="1:7">
      <c r="A22" s="29" t="s">
        <v>64</v>
      </c>
      <c r="B22" s="29" t="s">
        <v>65</v>
      </c>
      <c r="C22" s="29" t="s">
        <v>66</v>
      </c>
      <c r="D22" s="29">
        <v>700</v>
      </c>
      <c r="E22" s="29">
        <v>50</v>
      </c>
      <c r="F22" s="29" t="s">
        <v>9</v>
      </c>
      <c r="G22" s="29"/>
    </row>
    <row r="23" ht="15.75" customHeight="1" spans="1:7">
      <c r="A23" s="30" t="s">
        <v>67</v>
      </c>
      <c r="B23" s="30" t="s">
        <v>68</v>
      </c>
      <c r="C23" s="30" t="s">
        <v>69</v>
      </c>
      <c r="D23" s="30">
        <v>80</v>
      </c>
      <c r="E23" s="30">
        <v>20</v>
      </c>
      <c r="F23" s="30" t="s">
        <v>17</v>
      </c>
      <c r="G23" s="29"/>
    </row>
    <row r="24" ht="15.75" customHeight="1" spans="1:7">
      <c r="A24" s="29" t="s">
        <v>70</v>
      </c>
      <c r="B24" s="29" t="s">
        <v>71</v>
      </c>
      <c r="C24" s="29" t="s">
        <v>72</v>
      </c>
      <c r="D24" s="29">
        <v>150</v>
      </c>
      <c r="E24" s="29">
        <v>30</v>
      </c>
      <c r="F24" s="29" t="s">
        <v>9</v>
      </c>
      <c r="G24" s="29"/>
    </row>
    <row r="25" ht="15.75" customHeight="1" spans="1:7">
      <c r="A25" s="30" t="s">
        <v>50</v>
      </c>
      <c r="B25" s="30" t="s">
        <v>51</v>
      </c>
      <c r="C25" s="30" t="s">
        <v>52</v>
      </c>
      <c r="D25" s="30">
        <v>50</v>
      </c>
      <c r="E25" s="30">
        <v>35</v>
      </c>
      <c r="F25" s="30" t="s">
        <v>53</v>
      </c>
      <c r="G25" s="31"/>
    </row>
    <row r="26" ht="15.75" customHeight="1" spans="1:7">
      <c r="A26" s="29" t="s">
        <v>73</v>
      </c>
      <c r="B26" s="29" t="s">
        <v>19</v>
      </c>
      <c r="C26" s="29" t="s">
        <v>74</v>
      </c>
      <c r="D26" s="29">
        <v>800</v>
      </c>
      <c r="E26" s="29">
        <v>45</v>
      </c>
      <c r="F26" s="29" t="s">
        <v>9</v>
      </c>
      <c r="G26" s="29"/>
    </row>
    <row r="27" ht="15.75" customHeight="1" spans="1:7">
      <c r="A27" s="30" t="s">
        <v>75</v>
      </c>
      <c r="B27" s="30" t="s">
        <v>59</v>
      </c>
      <c r="C27" s="30" t="s">
        <v>76</v>
      </c>
      <c r="D27" s="30">
        <v>130</v>
      </c>
      <c r="E27" s="30">
        <v>25</v>
      </c>
      <c r="F27" s="30" t="s">
        <v>13</v>
      </c>
      <c r="G27" s="29"/>
    </row>
    <row r="28" ht="15.75" customHeight="1" spans="1:7">
      <c r="A28" s="29" t="s">
        <v>77</v>
      </c>
      <c r="B28" s="29" t="s">
        <v>32</v>
      </c>
      <c r="C28" s="29" t="s">
        <v>78</v>
      </c>
      <c r="D28" s="29">
        <v>400</v>
      </c>
      <c r="E28" s="29">
        <v>40</v>
      </c>
      <c r="F28" s="29" t="s">
        <v>17</v>
      </c>
      <c r="G28" s="29"/>
    </row>
    <row r="29" ht="15.75" customHeight="1" spans="1:7">
      <c r="A29" s="30" t="s">
        <v>48</v>
      </c>
      <c r="B29" s="30" t="s">
        <v>26</v>
      </c>
      <c r="C29" s="30" t="s">
        <v>49</v>
      </c>
      <c r="D29" s="30">
        <v>230</v>
      </c>
      <c r="E29" s="30">
        <v>20</v>
      </c>
      <c r="F29" s="30" t="s">
        <v>9</v>
      </c>
      <c r="G29" s="31"/>
    </row>
    <row r="30" ht="15.75" customHeight="1" spans="1:7">
      <c r="A30" s="29" t="s">
        <v>79</v>
      </c>
      <c r="B30" s="29" t="s">
        <v>80</v>
      </c>
      <c r="C30" s="29" t="s">
        <v>81</v>
      </c>
      <c r="D30" s="29">
        <v>60</v>
      </c>
      <c r="E30" s="29">
        <v>30</v>
      </c>
      <c r="F30" s="29" t="s">
        <v>13</v>
      </c>
      <c r="G30" s="29"/>
    </row>
    <row r="31" ht="15.75" customHeight="1" spans="1:7">
      <c r="A31" s="30" t="s">
        <v>82</v>
      </c>
      <c r="B31" s="30" t="s">
        <v>83</v>
      </c>
      <c r="C31" s="30" t="s">
        <v>84</v>
      </c>
      <c r="D31" s="30">
        <v>40</v>
      </c>
      <c r="E31" s="30">
        <v>10</v>
      </c>
      <c r="F31" s="30" t="s">
        <v>17</v>
      </c>
      <c r="G31" s="29"/>
    </row>
    <row r="32" ht="15.75" customHeight="1" spans="1:7">
      <c r="A32" s="29" t="s">
        <v>85</v>
      </c>
      <c r="B32" s="29" t="s">
        <v>71</v>
      </c>
      <c r="C32" s="29" t="s">
        <v>86</v>
      </c>
      <c r="D32" s="29">
        <v>130</v>
      </c>
      <c r="E32" s="29">
        <v>5</v>
      </c>
      <c r="F32" s="29" t="s">
        <v>9</v>
      </c>
      <c r="G32" s="29"/>
    </row>
    <row r="33" ht="15.75" customHeight="1" spans="1:7">
      <c r="A33" s="30" t="s">
        <v>87</v>
      </c>
      <c r="B33" s="30" t="s">
        <v>88</v>
      </c>
      <c r="C33" s="30" t="s">
        <v>89</v>
      </c>
      <c r="D33" s="30">
        <v>50</v>
      </c>
      <c r="E33" s="30">
        <v>50</v>
      </c>
      <c r="F33" s="30" t="s">
        <v>13</v>
      </c>
      <c r="G33" s="29"/>
    </row>
    <row r="34" ht="15.75" customHeight="1" spans="1:7">
      <c r="A34" s="29" t="s">
        <v>40</v>
      </c>
      <c r="B34" s="29" t="s">
        <v>7</v>
      </c>
      <c r="C34" s="29" t="s">
        <v>41</v>
      </c>
      <c r="D34" s="29">
        <v>950</v>
      </c>
      <c r="E34" s="29">
        <v>25</v>
      </c>
      <c r="F34" s="29" t="s">
        <v>9</v>
      </c>
      <c r="G34" s="29"/>
    </row>
    <row r="35" ht="15.75" customHeight="1" spans="1:7">
      <c r="A35" s="30" t="s">
        <v>90</v>
      </c>
      <c r="B35" s="30" t="s">
        <v>91</v>
      </c>
      <c r="C35" s="30" t="s">
        <v>92</v>
      </c>
      <c r="D35" s="30">
        <v>100</v>
      </c>
      <c r="E35" s="30">
        <v>20</v>
      </c>
      <c r="F35" s="30" t="s">
        <v>53</v>
      </c>
      <c r="G35" s="29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00"/>
  <sheetViews>
    <sheetView topLeftCell="L1" workbookViewId="0">
      <selection activeCell="T1" sqref="T1"/>
    </sheetView>
  </sheetViews>
  <sheetFormatPr defaultColWidth="12.6285714285714" defaultRowHeight="15" customHeight="1"/>
  <cols>
    <col min="1" max="1" width="12.6285714285714" style="1"/>
    <col min="2" max="2" width="14.1333333333333" style="1" customWidth="1"/>
    <col min="3" max="3" width="12.6285714285714" style="1"/>
    <col min="4" max="4" width="12.6285714285714" style="2"/>
    <col min="5" max="7" width="12.6285714285714" style="1"/>
    <col min="8" max="8" width="20.5714285714286" style="1" customWidth="1"/>
    <col min="9" max="10" width="21.7142857142857" style="1" customWidth="1"/>
    <col min="11" max="11" width="13.8571428571429" style="2" customWidth="1"/>
    <col min="12" max="13" width="12.6285714285714" style="1"/>
    <col min="14" max="14" width="12.6285714285714" style="11"/>
    <col min="15" max="16" width="23.2857142857143" style="1" customWidth="1"/>
    <col min="17" max="17" width="18.5714285714286" style="1" customWidth="1"/>
    <col min="18" max="18" width="12.6285714285714" style="1"/>
    <col min="19" max="19" width="59.4285714285714" style="1" customWidth="1"/>
    <col min="20" max="16384" width="12.6285714285714" style="1"/>
  </cols>
  <sheetData>
    <row r="1" ht="15.75" customHeight="1" spans="1:19">
      <c r="A1" s="12" t="s">
        <v>0</v>
      </c>
      <c r="B1" s="12" t="s">
        <v>1</v>
      </c>
      <c r="C1" s="12" t="s">
        <v>2</v>
      </c>
      <c r="D1" s="13" t="s">
        <v>3</v>
      </c>
      <c r="E1" s="12" t="s">
        <v>4</v>
      </c>
      <c r="F1" s="12" t="s">
        <v>5</v>
      </c>
      <c r="G1" s="14" t="s">
        <v>93</v>
      </c>
      <c r="H1" s="14" t="s">
        <v>94</v>
      </c>
      <c r="I1" s="14" t="s">
        <v>95</v>
      </c>
      <c r="J1" s="14" t="s">
        <v>96</v>
      </c>
      <c r="K1" s="15" t="s">
        <v>97</v>
      </c>
      <c r="L1" s="14" t="s">
        <v>98</v>
      </c>
      <c r="M1" s="14" t="s">
        <v>99</v>
      </c>
      <c r="N1" s="16" t="s">
        <v>100</v>
      </c>
      <c r="O1" s="14" t="s">
        <v>101</v>
      </c>
      <c r="P1" s="14" t="s">
        <v>102</v>
      </c>
      <c r="Q1" s="14" t="s">
        <v>103</v>
      </c>
    </row>
    <row r="2" ht="15.75" customHeight="1" spans="1:19">
      <c r="A2" s="17" t="s">
        <v>6</v>
      </c>
      <c r="B2" s="17" t="s">
        <v>7</v>
      </c>
      <c r="C2" s="17" t="s">
        <v>8</v>
      </c>
      <c r="D2" s="18">
        <v>1000</v>
      </c>
      <c r="E2" s="17">
        <v>30</v>
      </c>
      <c r="F2" s="17" t="s">
        <v>9</v>
      </c>
      <c r="G2" s="19"/>
      <c r="H2" s="19" t="str">
        <f t="shared" ref="H2:H35" si="0">PROPER(TRIM(CLEAN(B2)))</f>
        <v>Laptop</v>
      </c>
      <c r="I2" s="20" t="str">
        <f t="shared" ref="I2:I33" si="1">PROPER(TRIM(CLEAN(C2)))</f>
        <v>Dell</v>
      </c>
      <c r="J2" s="20" t="str">
        <f>PROPER(TRIM(CLEAN(F2)))</f>
        <v>Electronics</v>
      </c>
      <c r="K2" s="2">
        <f t="shared" ref="K2:K33" si="2">IF(D2,D2,"missing")</f>
        <v>1000</v>
      </c>
      <c r="L2" s="20" t="str">
        <f t="shared" ref="L2:L33" si="3">PROPER(TRIM(CLEAN(A2)))</f>
        <v>28-Jan-Us</v>
      </c>
      <c r="M2" s="20" t="str">
        <f t="shared" ref="M2:M33" si="4">RIGHT(A2,2)</f>
        <v>US</v>
      </c>
      <c r="N2" s="21" t="str">
        <f t="shared" ref="N2:N33" si="5">LEFT(A2,6)</f>
        <v>28-JAN</v>
      </c>
      <c r="O2" s="20" t="str">
        <f t="shared" ref="O2:O33" si="6">CONCATENATE(H2," ",I2)</f>
        <v>Laptop Dell</v>
      </c>
      <c r="P2" s="1" t="s">
        <v>9</v>
      </c>
      <c r="Q2" s="20" t="str">
        <f t="shared" ref="Q2:Q33" si="7">TEXT(N2,"DD-MM-YYYY")</f>
        <v>28-01-2026</v>
      </c>
    </row>
    <row r="3" ht="15.75" customHeight="1" spans="1:19">
      <c r="A3" s="22" t="s">
        <v>10</v>
      </c>
      <c r="B3" s="23" t="s">
        <v>11</v>
      </c>
      <c r="C3" s="23" t="s">
        <v>12</v>
      </c>
      <c r="D3" s="24">
        <v>80</v>
      </c>
      <c r="E3" s="23">
        <v>15</v>
      </c>
      <c r="F3" s="23" t="s">
        <v>13</v>
      </c>
      <c r="G3" s="19"/>
      <c r="H3" s="19" t="str">
        <f t="shared" si="0"/>
        <v>Sneakers</v>
      </c>
      <c r="I3" s="20" t="str">
        <f t="shared" si="1"/>
        <v>Nike</v>
      </c>
      <c r="J3" s="20" t="str">
        <f t="shared" ref="J2:J33" si="8">PROPER(TRIM(CLEAN(F3)))</f>
        <v>Fashion</v>
      </c>
      <c r="K3" s="2">
        <f t="shared" si="2"/>
        <v>80</v>
      </c>
      <c r="L3" s="20" t="str">
        <f t="shared" si="3"/>
        <v>15-Feb-Us</v>
      </c>
      <c r="M3" s="20" t="str">
        <f t="shared" si="4"/>
        <v>US</v>
      </c>
      <c r="N3" s="11" t="str">
        <f t="shared" si="5"/>
        <v>15-FEB</v>
      </c>
      <c r="O3" s="20" t="str">
        <f t="shared" si="6"/>
        <v>Sneakers Nike</v>
      </c>
      <c r="P3" s="1" t="s">
        <v>13</v>
      </c>
      <c r="Q3" s="20" t="str">
        <f t="shared" si="7"/>
        <v>15-02-2026</v>
      </c>
      <c r="S3" s="1" t="s">
        <v>104</v>
      </c>
    </row>
    <row r="4" ht="15.75" customHeight="1" spans="1:19">
      <c r="A4" s="17" t="s">
        <v>14</v>
      </c>
      <c r="B4" s="17" t="s">
        <v>15</v>
      </c>
      <c r="C4" s="17" t="s">
        <v>16</v>
      </c>
      <c r="D4" s="18">
        <v>130</v>
      </c>
      <c r="E4" s="17">
        <v>40</v>
      </c>
      <c r="F4" s="17" t="s">
        <v>17</v>
      </c>
      <c r="G4" s="19"/>
      <c r="H4" s="19" t="str">
        <f t="shared" si="0"/>
        <v>Coffee Maker</v>
      </c>
      <c r="I4" s="20" t="str">
        <f t="shared" si="1"/>
        <v>Keurig</v>
      </c>
      <c r="J4" s="20" t="str">
        <f t="shared" si="8"/>
        <v>Kitchen</v>
      </c>
      <c r="K4" s="2">
        <f t="shared" si="2"/>
        <v>130</v>
      </c>
      <c r="L4" s="20" t="str">
        <f t="shared" si="3"/>
        <v>03-Mar-Us</v>
      </c>
      <c r="M4" s="20" t="str">
        <f t="shared" si="4"/>
        <v>US</v>
      </c>
      <c r="N4" s="11" t="str">
        <f t="shared" si="5"/>
        <v>03-MAR</v>
      </c>
      <c r="O4" s="20" t="str">
        <f t="shared" si="6"/>
        <v>Coffee Maker Keurig</v>
      </c>
      <c r="P4" s="1" t="s">
        <v>17</v>
      </c>
      <c r="Q4" s="20" t="str">
        <f t="shared" si="7"/>
        <v>03-03-2026</v>
      </c>
    </row>
    <row r="5" ht="15.75" customHeight="1" spans="1:19">
      <c r="A5" s="23" t="s">
        <v>18</v>
      </c>
      <c r="B5" s="23" t="s">
        <v>19</v>
      </c>
      <c r="C5" s="23" t="s">
        <v>20</v>
      </c>
      <c r="D5" s="24">
        <v>900</v>
      </c>
      <c r="E5" s="23">
        <v>25</v>
      </c>
      <c r="F5" s="23" t="s">
        <v>9</v>
      </c>
      <c r="G5" s="19"/>
      <c r="H5" s="19" t="str">
        <f t="shared" si="0"/>
        <v>Smartphone</v>
      </c>
      <c r="I5" s="20" t="str">
        <f t="shared" si="1"/>
        <v>Samsung</v>
      </c>
      <c r="J5" s="20" t="str">
        <f t="shared" si="8"/>
        <v>Electronics</v>
      </c>
      <c r="K5" s="2">
        <f t="shared" si="2"/>
        <v>900</v>
      </c>
      <c r="L5" s="20" t="str">
        <f t="shared" si="3"/>
        <v>11-Apr-Us</v>
      </c>
      <c r="M5" s="20" t="str">
        <f t="shared" si="4"/>
        <v>US</v>
      </c>
      <c r="N5" s="11" t="str">
        <f t="shared" si="5"/>
        <v>11-APR</v>
      </c>
      <c r="O5" s="20" t="str">
        <f t="shared" si="6"/>
        <v>Smartphone Samsung</v>
      </c>
      <c r="P5" s="1" t="s">
        <v>9</v>
      </c>
      <c r="Q5" s="20" t="str">
        <f t="shared" si="7"/>
        <v>11-04-2026</v>
      </c>
      <c r="S5" s="25">
        <f>SUMIF(P2:P33,"Electronics",K2:K33)</f>
        <v>7100</v>
      </c>
    </row>
    <row r="6" ht="15.75" customHeight="1" spans="1:19">
      <c r="A6" s="17" t="s">
        <v>21</v>
      </c>
      <c r="B6" s="17" t="s">
        <v>22</v>
      </c>
      <c r="C6" s="17" t="s">
        <v>23</v>
      </c>
      <c r="D6" s="18">
        <v>70</v>
      </c>
      <c r="E6" s="17">
        <v>20</v>
      </c>
      <c r="F6" s="17" t="s">
        <v>24</v>
      </c>
      <c r="G6" s="19"/>
      <c r="H6" s="19" t="str">
        <f t="shared" si="0"/>
        <v>Backpack</v>
      </c>
      <c r="I6" s="20" t="str">
        <f t="shared" si="1"/>
        <v>North Face</v>
      </c>
      <c r="J6" s="20" t="str">
        <f t="shared" si="8"/>
        <v>Outdoor</v>
      </c>
      <c r="K6" s="2">
        <f t="shared" si="2"/>
        <v>70</v>
      </c>
      <c r="L6" s="20" t="str">
        <f t="shared" si="3"/>
        <v>22-May-Us</v>
      </c>
      <c r="M6" s="20" t="str">
        <f t="shared" si="4"/>
        <v>US</v>
      </c>
      <c r="N6" s="11" t="str">
        <f t="shared" si="5"/>
        <v>22-MAY</v>
      </c>
      <c r="O6" s="20" t="str">
        <f t="shared" si="6"/>
        <v>Backpack North Face</v>
      </c>
      <c r="P6" s="1" t="s">
        <v>24</v>
      </c>
      <c r="Q6" s="20" t="str">
        <f t="shared" si="7"/>
        <v>22-05-2026</v>
      </c>
    </row>
    <row r="7" ht="15.75" customHeight="1" spans="1:19">
      <c r="A7" s="23" t="s">
        <v>25</v>
      </c>
      <c r="B7" s="23" t="s">
        <v>26</v>
      </c>
      <c r="C7" s="23" t="s">
        <v>27</v>
      </c>
      <c r="D7" s="24">
        <v>200</v>
      </c>
      <c r="E7" s="23">
        <v>45</v>
      </c>
      <c r="F7" s="23" t="s">
        <v>9</v>
      </c>
      <c r="G7" s="19"/>
      <c r="H7" s="19" t="str">
        <f t="shared" si="0"/>
        <v>Headphones</v>
      </c>
      <c r="I7" s="20" t="str">
        <f t="shared" si="1"/>
        <v>Sony</v>
      </c>
      <c r="J7" s="20" t="str">
        <f t="shared" si="8"/>
        <v>Electronics</v>
      </c>
      <c r="K7" s="2">
        <f t="shared" si="2"/>
        <v>200</v>
      </c>
      <c r="L7" s="20" t="str">
        <f t="shared" si="3"/>
        <v>07-Jun-Uk</v>
      </c>
      <c r="M7" s="20" t="str">
        <f t="shared" si="4"/>
        <v>UK</v>
      </c>
      <c r="N7" s="11" t="str">
        <f t="shared" si="5"/>
        <v>07-JUN</v>
      </c>
      <c r="O7" s="20" t="str">
        <f t="shared" si="6"/>
        <v>Headphones Sony</v>
      </c>
      <c r="P7" s="1" t="s">
        <v>9</v>
      </c>
      <c r="Q7" s="20" t="str">
        <f t="shared" si="7"/>
        <v>07-06-2026</v>
      </c>
    </row>
    <row r="8" ht="15.75" customHeight="1" spans="1:19">
      <c r="A8" s="17" t="s">
        <v>28</v>
      </c>
      <c r="B8" s="17" t="s">
        <v>29</v>
      </c>
      <c r="C8" s="17" t="s">
        <v>30</v>
      </c>
      <c r="D8" s="18">
        <v>30</v>
      </c>
      <c r="E8" s="17">
        <v>5</v>
      </c>
      <c r="F8" s="17" t="s">
        <v>13</v>
      </c>
      <c r="G8" s="19"/>
      <c r="H8" s="19" t="str">
        <f t="shared" si="0"/>
        <v>T-Shirt</v>
      </c>
      <c r="I8" s="20" t="str">
        <f t="shared" si="1"/>
        <v>Adidas</v>
      </c>
      <c r="J8" s="20" t="str">
        <f t="shared" si="8"/>
        <v>Fashion</v>
      </c>
      <c r="K8" s="2">
        <f t="shared" si="2"/>
        <v>30</v>
      </c>
      <c r="L8" s="20" t="str">
        <f t="shared" si="3"/>
        <v>19-Jul-Uk</v>
      </c>
      <c r="M8" s="20" t="str">
        <f t="shared" si="4"/>
        <v>UK</v>
      </c>
      <c r="N8" s="11" t="str">
        <f t="shared" si="5"/>
        <v>19-JUL</v>
      </c>
      <c r="O8" s="20" t="str">
        <f t="shared" si="6"/>
        <v>T-Shirt Adidas</v>
      </c>
      <c r="P8" s="1" t="s">
        <v>13</v>
      </c>
      <c r="Q8" s="20" t="str">
        <f t="shared" si="7"/>
        <v>19-07-2026</v>
      </c>
      <c r="S8" s="1" t="s">
        <v>105</v>
      </c>
    </row>
    <row r="9" ht="15.75" customHeight="1" spans="1:19">
      <c r="A9" s="23" t="s">
        <v>31</v>
      </c>
      <c r="B9" s="23" t="s">
        <v>32</v>
      </c>
      <c r="C9" s="23" t="s">
        <v>33</v>
      </c>
      <c r="D9" s="24">
        <v>90</v>
      </c>
      <c r="E9" s="23">
        <v>35</v>
      </c>
      <c r="F9" s="23" t="s">
        <v>17</v>
      </c>
      <c r="G9" s="19"/>
      <c r="H9" s="19" t="str">
        <f t="shared" si="0"/>
        <v>Blender</v>
      </c>
      <c r="I9" s="20" t="str">
        <f t="shared" si="1"/>
        <v>Ninja</v>
      </c>
      <c r="J9" s="20" t="str">
        <f t="shared" si="8"/>
        <v>Kitchen</v>
      </c>
      <c r="K9" s="2">
        <f t="shared" si="2"/>
        <v>90</v>
      </c>
      <c r="L9" s="20" t="str">
        <f t="shared" si="3"/>
        <v>23-Aug-Uk</v>
      </c>
      <c r="M9" s="20" t="str">
        <f t="shared" si="4"/>
        <v>UK</v>
      </c>
      <c r="N9" s="11" t="str">
        <f t="shared" si="5"/>
        <v>23-AUG</v>
      </c>
      <c r="O9" s="20" t="str">
        <f t="shared" si="6"/>
        <v>Blender Ninja</v>
      </c>
      <c r="P9" s="1" t="s">
        <v>17</v>
      </c>
      <c r="Q9" s="20" t="str">
        <f t="shared" si="7"/>
        <v>23-08-2026</v>
      </c>
    </row>
    <row r="10" ht="15.75" customHeight="1" spans="1:19">
      <c r="A10" s="17" t="s">
        <v>34</v>
      </c>
      <c r="B10" s="17" t="s">
        <v>35</v>
      </c>
      <c r="C10" s="17" t="s">
        <v>36</v>
      </c>
      <c r="D10" s="18">
        <v>500</v>
      </c>
      <c r="E10" s="17">
        <v>50</v>
      </c>
      <c r="F10" s="17" t="s">
        <v>9</v>
      </c>
      <c r="G10" s="19"/>
      <c r="H10" s="19" t="str">
        <f t="shared" si="0"/>
        <v>Tablet</v>
      </c>
      <c r="I10" s="20" t="str">
        <f t="shared" si="1"/>
        <v>Apple</v>
      </c>
      <c r="J10" s="20" t="str">
        <f t="shared" si="8"/>
        <v>Electronics</v>
      </c>
      <c r="K10" s="2">
        <f t="shared" si="2"/>
        <v>500</v>
      </c>
      <c r="L10" s="20" t="str">
        <f t="shared" si="3"/>
        <v>05-Sep-Uk</v>
      </c>
      <c r="M10" s="20" t="str">
        <f t="shared" si="4"/>
        <v>UK</v>
      </c>
      <c r="N10" s="11" t="str">
        <f t="shared" si="5"/>
        <v>05-SEP</v>
      </c>
      <c r="O10" s="20" t="str">
        <f t="shared" si="6"/>
        <v>Tablet Apple</v>
      </c>
      <c r="P10" s="1" t="s">
        <v>9</v>
      </c>
      <c r="Q10" s="20" t="str">
        <f t="shared" si="7"/>
        <v>05-09-2026</v>
      </c>
      <c r="S10" s="25">
        <f>SUMIF(P2:P33,"Fashion",K2:K33)</f>
        <v>590</v>
      </c>
    </row>
    <row r="11" ht="15.75" customHeight="1" spans="1:19">
      <c r="A11" s="23" t="s">
        <v>37</v>
      </c>
      <c r="B11" s="23" t="s">
        <v>38</v>
      </c>
      <c r="C11" s="23" t="s">
        <v>39</v>
      </c>
      <c r="D11" s="24">
        <v>130</v>
      </c>
      <c r="E11" s="23">
        <v>10</v>
      </c>
      <c r="F11" s="23" t="s">
        <v>24</v>
      </c>
      <c r="G11" s="19"/>
      <c r="H11" s="19" t="str">
        <f t="shared" si="0"/>
        <v>Hiking Boots</v>
      </c>
      <c r="I11" s="20" t="str">
        <f t="shared" si="1"/>
        <v>Timberland</v>
      </c>
      <c r="J11" s="20" t="str">
        <f t="shared" si="8"/>
        <v>Outdoor</v>
      </c>
      <c r="K11" s="2">
        <f t="shared" si="2"/>
        <v>130</v>
      </c>
      <c r="L11" s="20" t="str">
        <f t="shared" si="3"/>
        <v>14-Oct-Uk</v>
      </c>
      <c r="M11" s="20" t="str">
        <f t="shared" si="4"/>
        <v>UK</v>
      </c>
      <c r="N11" s="11" t="str">
        <f t="shared" si="5"/>
        <v>14-OCT</v>
      </c>
      <c r="O11" s="20" t="str">
        <f t="shared" si="6"/>
        <v>Hiking Boots Timberland</v>
      </c>
      <c r="P11" s="1" t="s">
        <v>24</v>
      </c>
      <c r="Q11" s="20" t="str">
        <f t="shared" si="7"/>
        <v>14-10-2026</v>
      </c>
    </row>
    <row r="12" ht="15.75" customHeight="1" spans="1:19">
      <c r="A12" s="17" t="s">
        <v>40</v>
      </c>
      <c r="B12" s="17" t="s">
        <v>7</v>
      </c>
      <c r="C12" s="17" t="s">
        <v>41</v>
      </c>
      <c r="D12" s="18">
        <v>950</v>
      </c>
      <c r="E12" s="17">
        <v>25</v>
      </c>
      <c r="F12" s="17" t="s">
        <v>9</v>
      </c>
      <c r="G12" s="19"/>
      <c r="H12" s="19" t="str">
        <f t="shared" si="0"/>
        <v>Laptop</v>
      </c>
      <c r="I12" s="20" t="str">
        <f t="shared" si="1"/>
        <v>Hp</v>
      </c>
      <c r="J12" s="20" t="str">
        <f t="shared" si="8"/>
        <v>Electronics</v>
      </c>
      <c r="K12" s="2">
        <f t="shared" si="2"/>
        <v>950</v>
      </c>
      <c r="L12" s="20" t="str">
        <f t="shared" si="3"/>
        <v>17-Jun-In</v>
      </c>
      <c r="M12" s="20" t="str">
        <f t="shared" si="4"/>
        <v>IN</v>
      </c>
      <c r="N12" s="11" t="str">
        <f t="shared" si="5"/>
        <v>17-JUN</v>
      </c>
      <c r="O12" s="20" t="str">
        <f t="shared" si="6"/>
        <v>Laptop Hp</v>
      </c>
      <c r="P12" s="1" t="s">
        <v>9</v>
      </c>
      <c r="Q12" s="20" t="str">
        <f t="shared" si="7"/>
        <v>17-06-2026</v>
      </c>
    </row>
    <row r="13" ht="15.75" customHeight="1" spans="1:19">
      <c r="A13" s="23" t="s">
        <v>42</v>
      </c>
      <c r="B13" s="23" t="s">
        <v>11</v>
      </c>
      <c r="C13" s="23" t="s">
        <v>30</v>
      </c>
      <c r="D13" s="24">
        <v>90</v>
      </c>
      <c r="E13" s="23">
        <v>40</v>
      </c>
      <c r="F13" s="23" t="s">
        <v>13</v>
      </c>
      <c r="G13" s="19"/>
      <c r="H13" s="19" t="str">
        <f t="shared" si="0"/>
        <v>Sneakers</v>
      </c>
      <c r="I13" s="20" t="str">
        <f t="shared" si="1"/>
        <v>Adidas</v>
      </c>
      <c r="J13" s="20" t="str">
        <f t="shared" si="8"/>
        <v>Fashion</v>
      </c>
      <c r="K13" s="2">
        <f t="shared" si="2"/>
        <v>90</v>
      </c>
      <c r="L13" s="20" t="str">
        <f t="shared" si="3"/>
        <v>25-Nov-Au</v>
      </c>
      <c r="M13" s="20" t="str">
        <f t="shared" si="4"/>
        <v>AU</v>
      </c>
      <c r="N13" s="11" t="str">
        <f t="shared" si="5"/>
        <v>25-NOV</v>
      </c>
      <c r="O13" s="20" t="str">
        <f t="shared" si="6"/>
        <v>Sneakers Adidas</v>
      </c>
      <c r="P13" s="1" t="s">
        <v>13</v>
      </c>
      <c r="Q13" s="20" t="str">
        <f t="shared" si="7"/>
        <v>25-11-2026</v>
      </c>
      <c r="S13" s="1" t="s">
        <v>106</v>
      </c>
    </row>
    <row r="14" ht="15.75" customHeight="1" spans="1:19">
      <c r="A14" s="17" t="s">
        <v>43</v>
      </c>
      <c r="B14" s="17" t="s">
        <v>15</v>
      </c>
      <c r="C14" s="17" t="s">
        <v>44</v>
      </c>
      <c r="D14" s="18">
        <v>120</v>
      </c>
      <c r="E14" s="17">
        <v>35</v>
      </c>
      <c r="F14" s="17" t="s">
        <v>17</v>
      </c>
      <c r="G14" s="19"/>
      <c r="H14" s="19" t="str">
        <f t="shared" si="0"/>
        <v>Coffee Maker</v>
      </c>
      <c r="I14" s="20" t="str">
        <f t="shared" si="1"/>
        <v>Nespresso</v>
      </c>
      <c r="J14" s="20" t="str">
        <f t="shared" si="8"/>
        <v>Kitchen</v>
      </c>
      <c r="K14" s="2">
        <f t="shared" si="2"/>
        <v>120</v>
      </c>
      <c r="L14" s="20" t="str">
        <f t="shared" si="3"/>
        <v>08-Dec-De</v>
      </c>
      <c r="M14" s="20" t="str">
        <f t="shared" si="4"/>
        <v>DE</v>
      </c>
      <c r="N14" s="11" t="str">
        <f t="shared" si="5"/>
        <v>08-DEC</v>
      </c>
      <c r="O14" s="20" t="str">
        <f t="shared" si="6"/>
        <v>Coffee Maker Nespresso</v>
      </c>
      <c r="P14" s="1" t="s">
        <v>17</v>
      </c>
      <c r="Q14" s="20" t="str">
        <f t="shared" si="7"/>
        <v>08-12-2026</v>
      </c>
    </row>
    <row r="15" ht="15.75" customHeight="1" spans="1:19">
      <c r="A15" s="23" t="s">
        <v>45</v>
      </c>
      <c r="B15" s="23" t="s">
        <v>46</v>
      </c>
      <c r="C15" s="23" t="s">
        <v>47</v>
      </c>
      <c r="D15" s="24">
        <v>150</v>
      </c>
      <c r="E15" s="23">
        <v>15</v>
      </c>
      <c r="F15" s="23" t="s">
        <v>9</v>
      </c>
      <c r="G15" s="19"/>
      <c r="H15" s="19" t="str">
        <f t="shared" si="0"/>
        <v>Smartwatch</v>
      </c>
      <c r="I15" s="20" t="str">
        <f t="shared" si="1"/>
        <v>Fitbit</v>
      </c>
      <c r="J15" s="20" t="str">
        <f t="shared" si="8"/>
        <v>Electronics</v>
      </c>
      <c r="K15" s="2">
        <f t="shared" si="2"/>
        <v>150</v>
      </c>
      <c r="L15" s="20" t="str">
        <f t="shared" si="3"/>
        <v>18-Feb-Ca</v>
      </c>
      <c r="M15" s="20" t="str">
        <f t="shared" si="4"/>
        <v>CA</v>
      </c>
      <c r="N15" s="11" t="str">
        <f t="shared" si="5"/>
        <v>18-FEB</v>
      </c>
      <c r="O15" s="20" t="str">
        <f t="shared" si="6"/>
        <v>Smartwatch Fitbit</v>
      </c>
      <c r="P15" s="1" t="s">
        <v>9</v>
      </c>
      <c r="Q15" s="20" t="str">
        <f t="shared" si="7"/>
        <v>18-02-2026</v>
      </c>
      <c r="S15" s="25">
        <f>SUMIF(P2:P33,"Kitchen",K2:K33)</f>
        <v>860</v>
      </c>
    </row>
    <row r="16" ht="15.75" customHeight="1" spans="1:19">
      <c r="A16" s="17" t="s">
        <v>48</v>
      </c>
      <c r="B16" s="17" t="s">
        <v>26</v>
      </c>
      <c r="C16" s="17" t="s">
        <v>49</v>
      </c>
      <c r="D16" s="18">
        <v>250</v>
      </c>
      <c r="E16" s="17">
        <v>20</v>
      </c>
      <c r="F16" s="17" t="s">
        <v>9</v>
      </c>
      <c r="G16" s="19"/>
      <c r="H16" s="19" t="str">
        <f t="shared" si="0"/>
        <v>Headphones</v>
      </c>
      <c r="I16" s="20" t="str">
        <f t="shared" si="1"/>
        <v>Bose</v>
      </c>
      <c r="J16" s="20" t="str">
        <f t="shared" si="8"/>
        <v>Electronics</v>
      </c>
      <c r="K16" s="2">
        <f t="shared" si="2"/>
        <v>250</v>
      </c>
      <c r="L16" s="20" t="str">
        <f t="shared" si="3"/>
        <v>16-Apr-Es</v>
      </c>
      <c r="M16" s="20" t="str">
        <f t="shared" si="4"/>
        <v>ES</v>
      </c>
      <c r="N16" s="11" t="str">
        <f t="shared" si="5"/>
        <v>16-APR</v>
      </c>
      <c r="O16" s="20" t="str">
        <f t="shared" si="6"/>
        <v>Headphones Bose</v>
      </c>
      <c r="P16" s="1" t="s">
        <v>9</v>
      </c>
      <c r="Q16" s="20" t="str">
        <f t="shared" si="7"/>
        <v>16-04-2026</v>
      </c>
    </row>
    <row r="17" ht="15.75" customHeight="1" spans="1:19">
      <c r="A17" s="23" t="s">
        <v>50</v>
      </c>
      <c r="B17" s="23" t="s">
        <v>51</v>
      </c>
      <c r="C17" s="23" t="s">
        <v>52</v>
      </c>
      <c r="D17" s="24">
        <v>50</v>
      </c>
      <c r="E17" s="23">
        <v>35</v>
      </c>
      <c r="F17" s="23" t="s">
        <v>53</v>
      </c>
      <c r="G17" s="19"/>
      <c r="H17" s="19" t="str">
        <f t="shared" si="0"/>
        <v>Laptop Bag</v>
      </c>
      <c r="I17" s="20" t="str">
        <f t="shared" si="1"/>
        <v>Samsonite</v>
      </c>
      <c r="J17" s="20" t="str">
        <f t="shared" si="8"/>
        <v>Accessories</v>
      </c>
      <c r="K17" s="2">
        <f t="shared" si="2"/>
        <v>50</v>
      </c>
      <c r="L17" s="20" t="str">
        <f t="shared" si="3"/>
        <v>21-Aug-Ca</v>
      </c>
      <c r="M17" s="20" t="str">
        <f t="shared" si="4"/>
        <v>CA</v>
      </c>
      <c r="N17" s="11" t="str">
        <f t="shared" si="5"/>
        <v>21-AUG</v>
      </c>
      <c r="O17" s="20" t="str">
        <f t="shared" si="6"/>
        <v>Laptop Bag Samsonite</v>
      </c>
      <c r="P17" s="1" t="s">
        <v>53</v>
      </c>
      <c r="Q17" s="20" t="str">
        <f t="shared" si="7"/>
        <v>21-08-2026</v>
      </c>
    </row>
    <row r="18" ht="15.75" customHeight="1" spans="1:19">
      <c r="A18" s="17" t="s">
        <v>54</v>
      </c>
      <c r="B18" s="17" t="s">
        <v>46</v>
      </c>
      <c r="C18" s="17" t="s">
        <v>55</v>
      </c>
      <c r="D18" s="18">
        <v>160</v>
      </c>
      <c r="E18" s="17">
        <v>15</v>
      </c>
      <c r="F18" s="17" t="s">
        <v>9</v>
      </c>
      <c r="G18" s="19"/>
      <c r="H18" s="19" t="str">
        <f t="shared" si="0"/>
        <v>Smartwatch</v>
      </c>
      <c r="I18" s="20" t="str">
        <f t="shared" si="1"/>
        <v>Huawei</v>
      </c>
      <c r="J18" s="20" t="str">
        <f t="shared" si="8"/>
        <v>Electronics</v>
      </c>
      <c r="K18" s="2">
        <f t="shared" si="2"/>
        <v>160</v>
      </c>
      <c r="L18" s="20" t="str">
        <f t="shared" si="3"/>
        <v>20-Aug-Cn</v>
      </c>
      <c r="M18" s="20" t="str">
        <f t="shared" si="4"/>
        <v>CN</v>
      </c>
      <c r="N18" s="11" t="str">
        <f t="shared" si="5"/>
        <v>20-AUG</v>
      </c>
      <c r="O18" s="20" t="str">
        <f t="shared" si="6"/>
        <v>Smartwatch Huawei</v>
      </c>
      <c r="P18" s="1" t="s">
        <v>9</v>
      </c>
      <c r="Q18" s="20" t="str">
        <f t="shared" si="7"/>
        <v>20-08-2026</v>
      </c>
      <c r="S18" s="1" t="s">
        <v>107</v>
      </c>
    </row>
    <row r="19" ht="15.75" customHeight="1" spans="1:19">
      <c r="A19" s="23" t="s">
        <v>56</v>
      </c>
      <c r="B19" s="23" t="s">
        <v>7</v>
      </c>
      <c r="C19" s="23" t="s">
        <v>57</v>
      </c>
      <c r="D19" s="24">
        <v>980</v>
      </c>
      <c r="E19" s="23">
        <v>10</v>
      </c>
      <c r="F19" s="23" t="s">
        <v>9</v>
      </c>
      <c r="G19" s="19"/>
      <c r="H19" s="19" t="str">
        <f t="shared" si="0"/>
        <v>Laptop</v>
      </c>
      <c r="I19" s="20" t="str">
        <f t="shared" si="1"/>
        <v>Asus</v>
      </c>
      <c r="J19" s="20" t="str">
        <f t="shared" si="8"/>
        <v>Electronics</v>
      </c>
      <c r="K19" s="2">
        <f t="shared" si="2"/>
        <v>980</v>
      </c>
      <c r="L19" s="20" t="str">
        <f t="shared" si="3"/>
        <v>27-Jan-It</v>
      </c>
      <c r="M19" s="20" t="str">
        <f t="shared" si="4"/>
        <v>IT</v>
      </c>
      <c r="N19" s="11" t="str">
        <f t="shared" si="5"/>
        <v>27-JAN</v>
      </c>
      <c r="O19" s="20" t="str">
        <f t="shared" si="6"/>
        <v>Laptop Asus</v>
      </c>
      <c r="P19" s="1" t="s">
        <v>9</v>
      </c>
      <c r="Q19" s="20" t="str">
        <f t="shared" si="7"/>
        <v>27-01-2026</v>
      </c>
    </row>
    <row r="20" ht="15.75" customHeight="1" spans="1:19">
      <c r="A20" s="17" t="s">
        <v>58</v>
      </c>
      <c r="B20" s="17" t="s">
        <v>59</v>
      </c>
      <c r="C20" s="17" t="s">
        <v>60</v>
      </c>
      <c r="D20" s="18">
        <v>150</v>
      </c>
      <c r="E20" s="17">
        <v>15</v>
      </c>
      <c r="F20" s="17" t="s">
        <v>13</v>
      </c>
      <c r="G20" s="19"/>
      <c r="H20" s="19" t="str">
        <f t="shared" si="0"/>
        <v>Sunglasses</v>
      </c>
      <c r="I20" s="20" t="str">
        <f t="shared" si="1"/>
        <v>Oakley</v>
      </c>
      <c r="J20" s="20" t="str">
        <f t="shared" si="8"/>
        <v>Fashion</v>
      </c>
      <c r="K20" s="2">
        <f t="shared" si="2"/>
        <v>150</v>
      </c>
      <c r="L20" s="20" t="str">
        <f t="shared" si="3"/>
        <v>01-Mar-Uk</v>
      </c>
      <c r="M20" s="20" t="str">
        <f t="shared" si="4"/>
        <v>UK</v>
      </c>
      <c r="N20" s="11" t="str">
        <f t="shared" si="5"/>
        <v>01-MAR</v>
      </c>
      <c r="O20" s="20" t="str">
        <f t="shared" si="6"/>
        <v>Sunglasses Oakley</v>
      </c>
      <c r="P20" s="1" t="s">
        <v>13</v>
      </c>
      <c r="Q20" s="20" t="str">
        <f t="shared" si="7"/>
        <v>01-03-2026</v>
      </c>
      <c r="S20" s="25">
        <f>SUMIF(P2:P33,"Outdoor",K2:K33)</f>
        <v>400</v>
      </c>
    </row>
    <row r="21" ht="15.75" customHeight="1" spans="1:19">
      <c r="A21" s="23" t="s">
        <v>61</v>
      </c>
      <c r="B21" s="23" t="s">
        <v>62</v>
      </c>
      <c r="C21" s="23" t="s">
        <v>63</v>
      </c>
      <c r="D21" s="24">
        <v>200</v>
      </c>
      <c r="E21" s="23">
        <v>10</v>
      </c>
      <c r="F21" s="23" t="s">
        <v>24</v>
      </c>
      <c r="G21" s="19"/>
      <c r="H21" s="19" t="str">
        <f t="shared" si="0"/>
        <v>Camping Tent</v>
      </c>
      <c r="I21" s="20" t="str">
        <f t="shared" si="1"/>
        <v>Coleman</v>
      </c>
      <c r="J21" s="20" t="str">
        <f t="shared" si="8"/>
        <v>Outdoor</v>
      </c>
      <c r="K21" s="2">
        <f t="shared" si="2"/>
        <v>200</v>
      </c>
      <c r="L21" s="20" t="str">
        <f t="shared" si="3"/>
        <v>14-Aug-Us</v>
      </c>
      <c r="M21" s="20" t="str">
        <f t="shared" si="4"/>
        <v>US</v>
      </c>
      <c r="N21" s="11" t="str">
        <f t="shared" si="5"/>
        <v>14-AUG</v>
      </c>
      <c r="O21" s="20" t="str">
        <f t="shared" si="6"/>
        <v>Camping Tent Coleman</v>
      </c>
      <c r="P21" s="1" t="s">
        <v>24</v>
      </c>
      <c r="Q21" s="20" t="str">
        <f t="shared" si="7"/>
        <v>14-08-2026</v>
      </c>
    </row>
    <row r="22" ht="15.75" customHeight="1" spans="1:19">
      <c r="A22" s="17" t="s">
        <v>64</v>
      </c>
      <c r="B22" s="17" t="s">
        <v>65</v>
      </c>
      <c r="C22" s="17" t="s">
        <v>66</v>
      </c>
      <c r="D22" s="18">
        <v>700</v>
      </c>
      <c r="E22" s="17">
        <v>50</v>
      </c>
      <c r="F22" s="17" t="s">
        <v>9</v>
      </c>
      <c r="G22" s="19"/>
      <c r="H22" s="19" t="str">
        <f t="shared" si="0"/>
        <v>Camera</v>
      </c>
      <c r="I22" s="20" t="str">
        <f t="shared" si="1"/>
        <v>Nikon</v>
      </c>
      <c r="J22" s="20" t="str">
        <f t="shared" si="8"/>
        <v>Electronics</v>
      </c>
      <c r="K22" s="2">
        <f t="shared" si="2"/>
        <v>700</v>
      </c>
      <c r="L22" s="20" t="str">
        <f t="shared" si="3"/>
        <v>14-May-Ru</v>
      </c>
      <c r="M22" s="20" t="str">
        <f t="shared" si="4"/>
        <v>RU</v>
      </c>
      <c r="N22" s="11" t="str">
        <f t="shared" si="5"/>
        <v>14-MAY</v>
      </c>
      <c r="O22" s="20" t="str">
        <f t="shared" si="6"/>
        <v>Camera Nikon</v>
      </c>
      <c r="P22" s="1" t="s">
        <v>9</v>
      </c>
      <c r="Q22" s="20" t="str">
        <f t="shared" si="7"/>
        <v>14-05-2026</v>
      </c>
    </row>
    <row r="23" ht="15.75" customHeight="1" spans="1:19">
      <c r="A23" s="23" t="s">
        <v>67</v>
      </c>
      <c r="B23" s="23" t="s">
        <v>68</v>
      </c>
      <c r="C23" s="23" t="s">
        <v>69</v>
      </c>
      <c r="D23" s="24">
        <v>80</v>
      </c>
      <c r="E23" s="23">
        <v>20</v>
      </c>
      <c r="F23" s="23" t="s">
        <v>17</v>
      </c>
      <c r="G23" s="19"/>
      <c r="H23" s="19" t="str">
        <f t="shared" si="0"/>
        <v>Microwave</v>
      </c>
      <c r="I23" s="20" t="str">
        <f t="shared" si="1"/>
        <v>Panasonic</v>
      </c>
      <c r="J23" s="20" t="str">
        <f t="shared" si="8"/>
        <v>Kitchen</v>
      </c>
      <c r="K23" s="2">
        <f t="shared" si="2"/>
        <v>80</v>
      </c>
      <c r="L23" s="20" t="str">
        <f t="shared" si="3"/>
        <v>09-Jan-Ca</v>
      </c>
      <c r="M23" s="20" t="str">
        <f t="shared" si="4"/>
        <v>CA</v>
      </c>
      <c r="N23" s="11" t="str">
        <f t="shared" si="5"/>
        <v>09-JAN</v>
      </c>
      <c r="O23" s="20" t="str">
        <f t="shared" si="6"/>
        <v>Microwave Panasonic</v>
      </c>
      <c r="P23" s="1" t="s">
        <v>17</v>
      </c>
      <c r="Q23" s="20" t="str">
        <f t="shared" si="7"/>
        <v>09-01-2026</v>
      </c>
      <c r="S23" s="1" t="s">
        <v>108</v>
      </c>
    </row>
    <row r="24" ht="15.75" customHeight="1" spans="1:19">
      <c r="A24" s="17" t="s">
        <v>70</v>
      </c>
      <c r="B24" s="17" t="s">
        <v>71</v>
      </c>
      <c r="C24" s="17" t="s">
        <v>72</v>
      </c>
      <c r="D24" s="18">
        <v>150</v>
      </c>
      <c r="E24" s="17">
        <v>30</v>
      </c>
      <c r="F24" s="17" t="s">
        <v>9</v>
      </c>
      <c r="G24" s="19"/>
      <c r="H24" s="19" t="str">
        <f t="shared" si="0"/>
        <v>Fitness Tracker</v>
      </c>
      <c r="I24" s="20" t="str">
        <f t="shared" si="1"/>
        <v>Xiaomi</v>
      </c>
      <c r="J24" s="20" t="str">
        <f t="shared" si="8"/>
        <v>Electronics</v>
      </c>
      <c r="K24" s="2">
        <f t="shared" si="2"/>
        <v>150</v>
      </c>
      <c r="L24" s="20" t="str">
        <f t="shared" si="3"/>
        <v>19-Jul-Br</v>
      </c>
      <c r="M24" s="20" t="str">
        <f t="shared" si="4"/>
        <v>BR</v>
      </c>
      <c r="N24" s="11" t="str">
        <f t="shared" si="5"/>
        <v>19-JUL</v>
      </c>
      <c r="O24" s="20" t="str">
        <f t="shared" si="6"/>
        <v>Fitness Tracker Xiaomi</v>
      </c>
      <c r="P24" s="1" t="s">
        <v>9</v>
      </c>
      <c r="Q24" s="20" t="str">
        <f t="shared" si="7"/>
        <v>19-07-2026</v>
      </c>
    </row>
    <row r="25" ht="15.75" customHeight="1" spans="1:19">
      <c r="A25" s="26" t="s">
        <v>73</v>
      </c>
      <c r="B25" s="26" t="s">
        <v>19</v>
      </c>
      <c r="C25" s="26" t="s">
        <v>74</v>
      </c>
      <c r="D25" s="27">
        <v>800</v>
      </c>
      <c r="E25" s="26">
        <v>45</v>
      </c>
      <c r="F25" s="26" t="s">
        <v>9</v>
      </c>
      <c r="G25" s="19"/>
      <c r="H25" s="19" t="str">
        <f t="shared" si="0"/>
        <v>Smartphone</v>
      </c>
      <c r="I25" s="20" t="str">
        <f t="shared" si="1"/>
        <v>Google</v>
      </c>
      <c r="J25" s="20" t="str">
        <f t="shared" si="8"/>
        <v>Electronics</v>
      </c>
      <c r="K25" s="2">
        <f t="shared" si="2"/>
        <v>800</v>
      </c>
      <c r="L25" s="20" t="str">
        <f t="shared" si="3"/>
        <v>29-Sep-Ca</v>
      </c>
      <c r="M25" s="20" t="str">
        <f t="shared" si="4"/>
        <v>CA</v>
      </c>
      <c r="N25" s="11" t="str">
        <f t="shared" si="5"/>
        <v>29-SEP</v>
      </c>
      <c r="O25" s="20" t="str">
        <f t="shared" si="6"/>
        <v>Smartphone Google</v>
      </c>
      <c r="P25" s="1" t="s">
        <v>9</v>
      </c>
      <c r="Q25" s="20" t="str">
        <f t="shared" si="7"/>
        <v>29-09-2026</v>
      </c>
      <c r="S25" s="25">
        <f>SUMIF(P2:P33,"Accessories",K2:K33)</f>
        <v>150</v>
      </c>
    </row>
    <row r="26" ht="15.75" customHeight="1" spans="1:19">
      <c r="A26" s="23" t="s">
        <v>75</v>
      </c>
      <c r="B26" s="23" t="s">
        <v>59</v>
      </c>
      <c r="C26" s="23" t="s">
        <v>76</v>
      </c>
      <c r="D26" s="24">
        <v>130</v>
      </c>
      <c r="E26" s="23">
        <v>25</v>
      </c>
      <c r="F26" s="23" t="s">
        <v>13</v>
      </c>
      <c r="G26" s="19"/>
      <c r="H26" s="19" t="str">
        <f t="shared" si="0"/>
        <v>Sunglasses</v>
      </c>
      <c r="I26" s="20" t="str">
        <f t="shared" si="1"/>
        <v>Ray-Ban</v>
      </c>
      <c r="J26" s="20" t="str">
        <f t="shared" si="8"/>
        <v>Fashion</v>
      </c>
      <c r="K26" s="2">
        <f t="shared" si="2"/>
        <v>130</v>
      </c>
      <c r="L26" s="20" t="str">
        <f t="shared" si="3"/>
        <v>03-Jun-Ca</v>
      </c>
      <c r="M26" s="20" t="str">
        <f t="shared" si="4"/>
        <v>CA</v>
      </c>
      <c r="N26" s="11" t="str">
        <f t="shared" si="5"/>
        <v>03-JUN</v>
      </c>
      <c r="O26" s="20" t="str">
        <f t="shared" si="6"/>
        <v>Sunglasses Ray-Ban</v>
      </c>
      <c r="P26" s="1" t="s">
        <v>13</v>
      </c>
      <c r="Q26" s="20" t="str">
        <f t="shared" si="7"/>
        <v>03-06-2026</v>
      </c>
    </row>
    <row r="27" ht="15.75" customHeight="1" spans="1:19">
      <c r="A27" s="26" t="s">
        <v>77</v>
      </c>
      <c r="B27" s="26" t="s">
        <v>32</v>
      </c>
      <c r="C27" s="26" t="s">
        <v>78</v>
      </c>
      <c r="D27" s="27">
        <v>400</v>
      </c>
      <c r="E27" s="26">
        <v>40</v>
      </c>
      <c r="F27" s="26" t="s">
        <v>17</v>
      </c>
      <c r="G27" s="19"/>
      <c r="H27" s="19" t="str">
        <f t="shared" si="0"/>
        <v>Blender</v>
      </c>
      <c r="I27" s="20" t="str">
        <f t="shared" si="1"/>
        <v>Vitamix</v>
      </c>
      <c r="J27" s="20" t="str">
        <f t="shared" si="8"/>
        <v>Kitchen</v>
      </c>
      <c r="K27" s="2">
        <f t="shared" si="2"/>
        <v>400</v>
      </c>
      <c r="L27" s="20" t="str">
        <f t="shared" si="3"/>
        <v>11-Jul-Ca</v>
      </c>
      <c r="M27" s="20" t="str">
        <f t="shared" si="4"/>
        <v>CA</v>
      </c>
      <c r="N27" s="11" t="str">
        <f t="shared" si="5"/>
        <v>11-JUL</v>
      </c>
      <c r="O27" s="20" t="str">
        <f t="shared" si="6"/>
        <v>Blender Vitamix</v>
      </c>
      <c r="P27" s="1" t="s">
        <v>17</v>
      </c>
      <c r="Q27" s="20" t="str">
        <f t="shared" si="7"/>
        <v>11-07-2026</v>
      </c>
    </row>
    <row r="28" ht="15.75" customHeight="1" spans="1:19">
      <c r="A28" s="23" t="s">
        <v>48</v>
      </c>
      <c r="B28" s="23" t="s">
        <v>26</v>
      </c>
      <c r="C28" s="23" t="s">
        <v>49</v>
      </c>
      <c r="D28" s="24">
        <v>230</v>
      </c>
      <c r="E28" s="23">
        <v>20</v>
      </c>
      <c r="F28" s="23" t="s">
        <v>9</v>
      </c>
      <c r="G28" s="19"/>
      <c r="H28" s="19" t="str">
        <f t="shared" si="0"/>
        <v>Headphones</v>
      </c>
      <c r="I28" s="20" t="str">
        <f t="shared" si="1"/>
        <v>Bose</v>
      </c>
      <c r="J28" s="20" t="str">
        <f t="shared" si="8"/>
        <v>Electronics</v>
      </c>
      <c r="K28" s="2">
        <f t="shared" si="2"/>
        <v>230</v>
      </c>
      <c r="L28" s="20" t="str">
        <f t="shared" si="3"/>
        <v>16-Apr-Es</v>
      </c>
      <c r="M28" s="20" t="str">
        <f t="shared" si="4"/>
        <v>ES</v>
      </c>
      <c r="N28" s="11" t="str">
        <f t="shared" si="5"/>
        <v>16-APR</v>
      </c>
      <c r="O28" s="20" t="str">
        <f t="shared" si="6"/>
        <v>Headphones Bose</v>
      </c>
      <c r="P28" s="1" t="s">
        <v>9</v>
      </c>
      <c r="Q28" s="20" t="str">
        <f t="shared" si="7"/>
        <v>16-04-2026</v>
      </c>
    </row>
    <row r="29" ht="15.75" customHeight="1" spans="1:19">
      <c r="A29" s="26" t="s">
        <v>79</v>
      </c>
      <c r="B29" s="26" t="s">
        <v>80</v>
      </c>
      <c r="C29" s="26" t="s">
        <v>81</v>
      </c>
      <c r="D29" s="27">
        <v>60</v>
      </c>
      <c r="E29" s="26">
        <v>30</v>
      </c>
      <c r="F29" s="26" t="s">
        <v>13</v>
      </c>
      <c r="G29" s="19"/>
      <c r="H29" s="19" t="str">
        <f t="shared" si="0"/>
        <v>Dress</v>
      </c>
      <c r="I29" s="20" t="str">
        <f t="shared" si="1"/>
        <v>Zara</v>
      </c>
      <c r="J29" s="20" t="str">
        <f t="shared" si="8"/>
        <v>Fashion</v>
      </c>
      <c r="K29" s="2">
        <f t="shared" si="2"/>
        <v>60</v>
      </c>
      <c r="L29" s="20" t="str">
        <f t="shared" si="3"/>
        <v>07-Mar-Ca</v>
      </c>
      <c r="M29" s="20" t="str">
        <f t="shared" si="4"/>
        <v>CA</v>
      </c>
      <c r="N29" s="11" t="str">
        <f t="shared" si="5"/>
        <v>07-MAR</v>
      </c>
      <c r="O29" s="20" t="str">
        <f t="shared" si="6"/>
        <v>Dress Zara</v>
      </c>
      <c r="P29" s="1" t="s">
        <v>13</v>
      </c>
      <c r="Q29" s="20" t="str">
        <f t="shared" si="7"/>
        <v>07-03-2026</v>
      </c>
    </row>
    <row r="30" ht="15.75" customHeight="1" spans="1:19">
      <c r="A30" s="23" t="s">
        <v>82</v>
      </c>
      <c r="B30" s="23" t="s">
        <v>83</v>
      </c>
      <c r="C30" s="23" t="s">
        <v>84</v>
      </c>
      <c r="D30" s="24">
        <v>40</v>
      </c>
      <c r="E30" s="23">
        <v>10</v>
      </c>
      <c r="F30" s="23" t="s">
        <v>17</v>
      </c>
      <c r="G30" s="19"/>
      <c r="H30" s="19" t="str">
        <f t="shared" si="0"/>
        <v>Toaster</v>
      </c>
      <c r="I30" s="20" t="str">
        <f t="shared" si="1"/>
        <v>Hamilton</v>
      </c>
      <c r="J30" s="20" t="str">
        <f t="shared" si="8"/>
        <v>Kitchen</v>
      </c>
      <c r="K30" s="2">
        <f t="shared" si="2"/>
        <v>40</v>
      </c>
      <c r="L30" s="20" t="str">
        <f t="shared" si="3"/>
        <v>13-Apr-Ca</v>
      </c>
      <c r="M30" s="20" t="str">
        <f t="shared" si="4"/>
        <v>CA</v>
      </c>
      <c r="N30" s="11" t="str">
        <f t="shared" si="5"/>
        <v>13-APR</v>
      </c>
      <c r="O30" s="20" t="str">
        <f t="shared" si="6"/>
        <v>Toaster Hamilton</v>
      </c>
      <c r="P30" s="1" t="s">
        <v>17</v>
      </c>
      <c r="Q30" s="20" t="str">
        <f t="shared" si="7"/>
        <v>13-04-2026</v>
      </c>
    </row>
    <row r="31" ht="15.75" customHeight="1" spans="1:19">
      <c r="A31" s="26" t="s">
        <v>85</v>
      </c>
      <c r="B31" s="26" t="s">
        <v>71</v>
      </c>
      <c r="C31" s="26" t="s">
        <v>86</v>
      </c>
      <c r="D31" s="27">
        <v>130</v>
      </c>
      <c r="E31" s="26">
        <v>5</v>
      </c>
      <c r="F31" s="26" t="s">
        <v>9</v>
      </c>
      <c r="G31" s="19"/>
      <c r="H31" s="19" t="str">
        <f t="shared" si="0"/>
        <v>Fitness Tracker</v>
      </c>
      <c r="I31" s="20" t="str">
        <f t="shared" si="1"/>
        <v>Garmin</v>
      </c>
      <c r="J31" s="20" t="str">
        <f t="shared" si="8"/>
        <v>Electronics</v>
      </c>
      <c r="K31" s="2">
        <f t="shared" si="2"/>
        <v>130</v>
      </c>
      <c r="L31" s="20" t="str">
        <f t="shared" si="3"/>
        <v>24-May-Ca</v>
      </c>
      <c r="M31" s="20" t="str">
        <f t="shared" si="4"/>
        <v>CA</v>
      </c>
      <c r="N31" s="11" t="str">
        <f t="shared" si="5"/>
        <v>24-MAY</v>
      </c>
      <c r="O31" s="20" t="str">
        <f t="shared" si="6"/>
        <v>Fitness Tracker Garmin</v>
      </c>
      <c r="P31" s="1" t="s">
        <v>9</v>
      </c>
      <c r="Q31" s="20" t="str">
        <f t="shared" si="7"/>
        <v>24-05-2026</v>
      </c>
    </row>
    <row r="32" ht="15.75" customHeight="1" spans="1:19">
      <c r="A32" s="23" t="s">
        <v>87</v>
      </c>
      <c r="B32" s="23" t="s">
        <v>88</v>
      </c>
      <c r="C32" s="23" t="s">
        <v>89</v>
      </c>
      <c r="D32" s="24">
        <v>50</v>
      </c>
      <c r="E32" s="23">
        <v>50</v>
      </c>
      <c r="F32" s="23" t="s">
        <v>13</v>
      </c>
      <c r="G32" s="19"/>
      <c r="H32" s="19" t="str">
        <f t="shared" si="0"/>
        <v>Jeans</v>
      </c>
      <c r="I32" s="20" t="str">
        <f t="shared" si="1"/>
        <v>Levi'S</v>
      </c>
      <c r="J32" s="20" t="str">
        <f t="shared" si="8"/>
        <v>Fashion</v>
      </c>
      <c r="K32" s="2">
        <f t="shared" si="2"/>
        <v>50</v>
      </c>
      <c r="L32" s="20" t="str">
        <f t="shared" si="3"/>
        <v>02-Dec-Ca</v>
      </c>
      <c r="M32" s="20" t="str">
        <f t="shared" si="4"/>
        <v>CA</v>
      </c>
      <c r="N32" s="11" t="str">
        <f t="shared" si="5"/>
        <v>02-DEC</v>
      </c>
      <c r="O32" s="20" t="str">
        <f t="shared" si="6"/>
        <v>Jeans Levi'S</v>
      </c>
      <c r="P32" s="1" t="s">
        <v>13</v>
      </c>
      <c r="Q32" s="20" t="str">
        <f t="shared" si="7"/>
        <v>02-12-2026</v>
      </c>
    </row>
    <row r="33" ht="15.75" customHeight="1" spans="1:17">
      <c r="A33" s="23" t="s">
        <v>90</v>
      </c>
      <c r="B33" s="23" t="s">
        <v>91</v>
      </c>
      <c r="C33" s="23" t="s">
        <v>92</v>
      </c>
      <c r="D33" s="24">
        <v>100</v>
      </c>
      <c r="E33" s="23">
        <v>20</v>
      </c>
      <c r="F33" s="23" t="s">
        <v>53</v>
      </c>
      <c r="G33" s="19"/>
      <c r="H33" s="19" t="str">
        <f t="shared" si="0"/>
        <v>Watch</v>
      </c>
      <c r="I33" s="20" t="str">
        <f t="shared" si="1"/>
        <v>Casio</v>
      </c>
      <c r="J33" s="20" t="str">
        <f t="shared" si="8"/>
        <v>Accessories</v>
      </c>
      <c r="K33" s="2">
        <f t="shared" si="2"/>
        <v>100</v>
      </c>
      <c r="L33" s="20" t="str">
        <f t="shared" si="3"/>
        <v>09-Jul-Fr</v>
      </c>
      <c r="M33" s="20" t="str">
        <f t="shared" si="4"/>
        <v>FR</v>
      </c>
      <c r="N33" s="11" t="str">
        <f t="shared" si="5"/>
        <v>09-JUL</v>
      </c>
      <c r="O33" s="20" t="str">
        <f t="shared" si="6"/>
        <v>Watch Casio</v>
      </c>
      <c r="P33" s="1" t="s">
        <v>53</v>
      </c>
      <c r="Q33" s="20" t="str">
        <f t="shared" si="7"/>
        <v>09-07-2026</v>
      </c>
    </row>
    <row r="34" ht="15.75" customHeight="1" spans="1:17">
      <c r="A34"/>
      <c r="B34"/>
      <c r="C34"/>
      <c r="D34"/>
      <c r="E34"/>
      <c r="F34"/>
      <c r="G34"/>
      <c r="H34" t="str">
        <f t="shared" si="0"/>
        <v/>
      </c>
      <c r="I34" t="str">
        <f>PROPER(TRIM(CLEAN(D34)))</f>
        <v/>
      </c>
      <c r="J34"/>
      <c r="K34" s="28" t="str">
        <f>IF(C34,C34,"missing")</f>
        <v>missing</v>
      </c>
    </row>
    <row r="35" ht="15.75" customHeight="1" spans="1:17">
      <c r="A35"/>
      <c r="B35"/>
      <c r="C35"/>
      <c r="D35"/>
      <c r="E35"/>
      <c r="F35"/>
      <c r="G35"/>
      <c r="H35" t="str">
        <f t="shared" si="0"/>
        <v/>
      </c>
      <c r="I35" t="str">
        <f>PROPER(TRIM(CLEAN(D35)))</f>
        <v/>
      </c>
      <c r="J35"/>
      <c r="K35" s="28" t="str">
        <f>IF(C35,C35,"missing")</f>
        <v>missing</v>
      </c>
    </row>
    <row r="36" s="1" customFormat="1" ht="15.75" customHeight="1" spans="1:17">
      <c r="D36" s="2"/>
      <c r="K36" s="2"/>
      <c r="N36" s="11"/>
    </row>
    <row r="37" s="1" customFormat="1" ht="15.75" customHeight="1" spans="1:17">
      <c r="D37" s="2"/>
      <c r="K37" s="2"/>
      <c r="N37" s="11"/>
    </row>
    <row r="38" s="1" customFormat="1" ht="15.75" customHeight="1" spans="1:17">
      <c r="D38" s="2"/>
      <c r="K38" s="2"/>
      <c r="N38" s="11"/>
    </row>
    <row r="39" s="1" customFormat="1" ht="15.75" customHeight="1" spans="1:17">
      <c r="D39" s="2"/>
      <c r="K39" s="2"/>
      <c r="N39" s="11"/>
    </row>
    <row r="40" s="1" customFormat="1" ht="15.75" customHeight="1" spans="1:17">
      <c r="D40" s="2"/>
      <c r="K40" s="2"/>
      <c r="N40" s="11"/>
    </row>
    <row r="41" s="1" customFormat="1" ht="15.75" customHeight="1" spans="1:17">
      <c r="D41" s="2"/>
      <c r="K41" s="2"/>
      <c r="N41" s="11"/>
    </row>
    <row r="42" s="1" customFormat="1" ht="15.75" customHeight="1" spans="1:17">
      <c r="D42" s="2"/>
      <c r="K42" s="2"/>
      <c r="N42" s="11"/>
    </row>
    <row r="43" s="1" customFormat="1" ht="15.75" customHeight="1" spans="1:17">
      <c r="D43" s="2"/>
      <c r="K43" s="2"/>
      <c r="N43" s="11"/>
    </row>
    <row r="44" s="1" customFormat="1" ht="15.75" customHeight="1" spans="1:17">
      <c r="D44" s="2"/>
      <c r="K44" s="2"/>
      <c r="N44" s="11"/>
    </row>
    <row r="45" s="1" customFormat="1" ht="15.75" customHeight="1" spans="1:17">
      <c r="D45" s="2"/>
      <c r="K45" s="2"/>
      <c r="N45" s="11"/>
    </row>
    <row r="46" s="1" customFormat="1" ht="15.75" customHeight="1" spans="1:17">
      <c r="D46" s="2"/>
      <c r="K46" s="2"/>
      <c r="N46" s="11"/>
    </row>
    <row r="47" s="1" customFormat="1" ht="15.75" customHeight="1" spans="1:17">
      <c r="D47" s="2"/>
      <c r="K47" s="2"/>
      <c r="N47" s="11"/>
    </row>
    <row r="48" s="1" customFormat="1" ht="15.75" customHeight="1" spans="1:17">
      <c r="D48" s="2"/>
      <c r="K48" s="2"/>
      <c r="N48" s="11"/>
    </row>
    <row r="49" s="1" customFormat="1" ht="15.75" customHeight="1" spans="4:14">
      <c r="D49" s="2"/>
      <c r="K49" s="2"/>
      <c r="N49" s="11"/>
    </row>
    <row r="50" s="1" customFormat="1" ht="15.75" customHeight="1" spans="4:14">
      <c r="D50" s="2"/>
      <c r="K50" s="2"/>
      <c r="N50" s="11"/>
    </row>
    <row r="51" s="1" customFormat="1" ht="15.75" customHeight="1" spans="4:14">
      <c r="D51" s="2"/>
      <c r="K51" s="2"/>
      <c r="N51" s="11"/>
    </row>
    <row r="52" s="1" customFormat="1" ht="15.75" customHeight="1" spans="4:14">
      <c r="D52" s="2"/>
      <c r="K52" s="2"/>
      <c r="N52" s="11"/>
    </row>
    <row r="53" s="1" customFormat="1" ht="15.75" customHeight="1" spans="4:14">
      <c r="D53" s="2"/>
      <c r="K53" s="2"/>
      <c r="N53" s="11"/>
    </row>
    <row r="54" s="1" customFormat="1" ht="15.75" customHeight="1" spans="4:14">
      <c r="D54" s="2"/>
      <c r="K54" s="2"/>
      <c r="N54" s="11"/>
    </row>
    <row r="55" s="1" customFormat="1" ht="15.75" customHeight="1" spans="4:14">
      <c r="D55" s="2"/>
      <c r="K55" s="2"/>
      <c r="N55" s="11"/>
    </row>
    <row r="56" s="1" customFormat="1" ht="15.75" customHeight="1" spans="4:14">
      <c r="D56" s="2"/>
      <c r="K56" s="2"/>
      <c r="N56" s="11"/>
    </row>
    <row r="57" s="1" customFormat="1" ht="15.75" customHeight="1" spans="4:14">
      <c r="D57" s="2"/>
      <c r="K57" s="2"/>
      <c r="N57" s="11"/>
    </row>
    <row r="58" s="1" customFormat="1" ht="15.75" customHeight="1" spans="4:14">
      <c r="D58" s="2"/>
      <c r="K58" s="2"/>
      <c r="N58" s="11"/>
    </row>
    <row r="59" s="1" customFormat="1" ht="15.75" customHeight="1" spans="4:14">
      <c r="D59" s="2"/>
      <c r="K59" s="2"/>
      <c r="N59" s="11"/>
    </row>
    <row r="60" s="1" customFormat="1" ht="15.75" customHeight="1" spans="4:14">
      <c r="D60" s="2"/>
      <c r="K60" s="2"/>
      <c r="N60" s="11"/>
    </row>
    <row r="61" s="1" customFormat="1" ht="15.75" customHeight="1" spans="4:14">
      <c r="D61" s="2"/>
      <c r="K61" s="2"/>
      <c r="N61" s="11"/>
    </row>
    <row r="62" s="1" customFormat="1" ht="15.75" customHeight="1" spans="4:14">
      <c r="D62" s="2"/>
      <c r="K62" s="2"/>
      <c r="N62" s="11"/>
    </row>
    <row r="63" s="1" customFormat="1" ht="15.75" customHeight="1" spans="4:14">
      <c r="D63" s="2"/>
      <c r="K63" s="2"/>
      <c r="N63" s="11"/>
    </row>
    <row r="64" s="1" customFormat="1" ht="15.75" customHeight="1" spans="4:14">
      <c r="D64" s="2"/>
      <c r="K64" s="2"/>
      <c r="N64" s="11"/>
    </row>
    <row r="65" s="1" customFormat="1" ht="15.75" customHeight="1" spans="4:14">
      <c r="D65" s="2"/>
      <c r="K65" s="2"/>
      <c r="N65" s="11"/>
    </row>
    <row r="66" s="1" customFormat="1" ht="15.75" customHeight="1" spans="4:14">
      <c r="D66" s="2"/>
      <c r="K66" s="2"/>
      <c r="N66" s="11"/>
    </row>
    <row r="67" s="1" customFormat="1" ht="15.75" customHeight="1" spans="4:14">
      <c r="D67" s="2"/>
      <c r="K67" s="2"/>
      <c r="N67" s="11"/>
    </row>
    <row r="68" s="1" customFormat="1" ht="15.75" customHeight="1" spans="4:14">
      <c r="D68" s="2"/>
      <c r="K68" s="2"/>
      <c r="N68" s="11"/>
    </row>
    <row r="69" s="1" customFormat="1" ht="15.75" customHeight="1" spans="4:14">
      <c r="D69" s="2"/>
      <c r="K69" s="2"/>
      <c r="N69" s="11"/>
    </row>
    <row r="70" s="1" customFormat="1" ht="15.75" customHeight="1" spans="4:14">
      <c r="D70" s="2"/>
      <c r="K70" s="2"/>
      <c r="N70" s="11"/>
    </row>
    <row r="71" s="1" customFormat="1" ht="15.75" customHeight="1" spans="4:14">
      <c r="D71" s="2"/>
      <c r="K71" s="2"/>
      <c r="N71" s="11"/>
    </row>
    <row r="72" s="1" customFormat="1" ht="15.75" customHeight="1" spans="4:14">
      <c r="D72" s="2"/>
      <c r="K72" s="2"/>
      <c r="N72" s="11"/>
    </row>
    <row r="73" s="1" customFormat="1" ht="15.75" customHeight="1" spans="4:14">
      <c r="D73" s="2"/>
      <c r="K73" s="2"/>
      <c r="N73" s="11"/>
    </row>
    <row r="74" s="1" customFormat="1" ht="15.75" customHeight="1" spans="4:14">
      <c r="D74" s="2"/>
      <c r="K74" s="2"/>
      <c r="N74" s="11"/>
    </row>
    <row r="75" s="1" customFormat="1" ht="15.75" customHeight="1" spans="4:14">
      <c r="D75" s="2"/>
      <c r="K75" s="2"/>
      <c r="N75" s="11"/>
    </row>
    <row r="76" s="1" customFormat="1" ht="15.75" customHeight="1" spans="4:14">
      <c r="D76" s="2"/>
      <c r="K76" s="2"/>
      <c r="N76" s="11"/>
    </row>
    <row r="77" s="1" customFormat="1" ht="15.75" customHeight="1" spans="4:14">
      <c r="D77" s="2"/>
      <c r="K77" s="2"/>
      <c r="N77" s="11"/>
    </row>
    <row r="78" s="1" customFormat="1" ht="15.75" customHeight="1" spans="4:14">
      <c r="D78" s="2"/>
      <c r="K78" s="2"/>
      <c r="N78" s="11"/>
    </row>
    <row r="79" s="1" customFormat="1" ht="15.75" customHeight="1" spans="4:14">
      <c r="D79" s="2"/>
      <c r="K79" s="2"/>
      <c r="N79" s="11"/>
    </row>
    <row r="80" s="1" customFormat="1" ht="15.75" customHeight="1" spans="4:14">
      <c r="D80" s="2"/>
      <c r="K80" s="2"/>
      <c r="N80" s="11"/>
    </row>
    <row r="81" s="1" customFormat="1" ht="15.75" customHeight="1" spans="4:14">
      <c r="D81" s="2"/>
      <c r="K81" s="2"/>
      <c r="N81" s="11"/>
    </row>
    <row r="82" s="1" customFormat="1" ht="15.75" customHeight="1" spans="4:14">
      <c r="D82" s="2"/>
      <c r="K82" s="2"/>
      <c r="N82" s="11"/>
    </row>
    <row r="83" s="1" customFormat="1" ht="15.75" customHeight="1" spans="4:14">
      <c r="D83" s="2"/>
      <c r="K83" s="2"/>
      <c r="N83" s="11"/>
    </row>
    <row r="84" s="1" customFormat="1" ht="15.75" customHeight="1" spans="4:14">
      <c r="D84" s="2"/>
      <c r="K84" s="2"/>
      <c r="N84" s="11"/>
    </row>
    <row r="85" s="1" customFormat="1" ht="15.75" customHeight="1" spans="4:14">
      <c r="D85" s="2"/>
      <c r="K85" s="2"/>
      <c r="N85" s="11"/>
    </row>
    <row r="86" s="1" customFormat="1" ht="15.75" customHeight="1" spans="4:14">
      <c r="D86" s="2"/>
      <c r="K86" s="2"/>
      <c r="N86" s="11"/>
    </row>
    <row r="87" s="1" customFormat="1" ht="15.75" customHeight="1" spans="4:14">
      <c r="D87" s="2"/>
      <c r="K87" s="2"/>
      <c r="N87" s="11"/>
    </row>
    <row r="88" s="1" customFormat="1" ht="15.75" customHeight="1" spans="4:14">
      <c r="D88" s="2"/>
      <c r="K88" s="2"/>
      <c r="N88" s="11"/>
    </row>
    <row r="89" s="1" customFormat="1" ht="15.75" customHeight="1" spans="4:14">
      <c r="D89" s="2"/>
      <c r="K89" s="2"/>
      <c r="N89" s="11"/>
    </row>
    <row r="90" s="1" customFormat="1" ht="15.75" customHeight="1" spans="4:14">
      <c r="D90" s="2"/>
      <c r="K90" s="2"/>
      <c r="N90" s="11"/>
    </row>
    <row r="91" s="1" customFormat="1" ht="15.75" customHeight="1" spans="4:14">
      <c r="D91" s="2"/>
      <c r="K91" s="2"/>
      <c r="N91" s="11"/>
    </row>
    <row r="92" s="1" customFormat="1" ht="15.75" customHeight="1" spans="4:14">
      <c r="D92" s="2"/>
      <c r="K92" s="2"/>
      <c r="N92" s="11"/>
    </row>
    <row r="93" s="1" customFormat="1" ht="15.75" customHeight="1" spans="4:14">
      <c r="D93" s="2"/>
      <c r="K93" s="2"/>
      <c r="N93" s="11"/>
    </row>
    <row r="94" s="1" customFormat="1" ht="15.75" customHeight="1" spans="4:14">
      <c r="D94" s="2"/>
      <c r="K94" s="2"/>
      <c r="N94" s="11"/>
    </row>
    <row r="95" s="1" customFormat="1" ht="15.75" customHeight="1" spans="4:14">
      <c r="D95" s="2"/>
      <c r="K95" s="2"/>
      <c r="N95" s="11"/>
    </row>
    <row r="96" s="1" customFormat="1" ht="15.75" customHeight="1" spans="4:14">
      <c r="D96" s="2"/>
      <c r="K96" s="2"/>
      <c r="N96" s="11"/>
    </row>
    <row r="97" s="1" customFormat="1" ht="15.75" customHeight="1" spans="4:14">
      <c r="D97" s="2"/>
      <c r="K97" s="2"/>
      <c r="N97" s="11"/>
    </row>
    <row r="98" s="1" customFormat="1" ht="15.75" customHeight="1" spans="4:14">
      <c r="D98" s="2"/>
      <c r="K98" s="2"/>
      <c r="N98" s="11"/>
    </row>
    <row r="99" s="1" customFormat="1" ht="15.75" customHeight="1" spans="4:14">
      <c r="D99" s="2"/>
      <c r="K99" s="2"/>
      <c r="N99" s="11"/>
    </row>
    <row r="100" s="1" customFormat="1" ht="15.75" customHeight="1" spans="4:14">
      <c r="D100" s="2"/>
      <c r="K100" s="2"/>
      <c r="N100" s="11"/>
    </row>
    <row r="101" s="1" customFormat="1" ht="15.75" customHeight="1" spans="4:14">
      <c r="D101" s="2"/>
      <c r="K101" s="2"/>
      <c r="N101" s="11"/>
    </row>
    <row r="102" s="1" customFormat="1" ht="15.75" customHeight="1" spans="4:14">
      <c r="D102" s="2"/>
      <c r="K102" s="2"/>
      <c r="N102" s="11"/>
    </row>
    <row r="103" s="1" customFormat="1" ht="15.75" customHeight="1" spans="4:14">
      <c r="D103" s="2"/>
      <c r="K103" s="2"/>
      <c r="N103" s="11"/>
    </row>
    <row r="104" s="1" customFormat="1" ht="15.75" customHeight="1" spans="4:14">
      <c r="D104" s="2"/>
      <c r="K104" s="2"/>
      <c r="N104" s="11"/>
    </row>
    <row r="105" s="1" customFormat="1" ht="15.75" customHeight="1" spans="4:14">
      <c r="D105" s="2"/>
      <c r="K105" s="2"/>
      <c r="N105" s="11"/>
    </row>
    <row r="106" s="1" customFormat="1" ht="15.75" customHeight="1" spans="4:14">
      <c r="D106" s="2"/>
      <c r="K106" s="2"/>
      <c r="N106" s="11"/>
    </row>
    <row r="107" s="1" customFormat="1" ht="15.75" customHeight="1" spans="4:14">
      <c r="D107" s="2"/>
      <c r="K107" s="2"/>
      <c r="N107" s="11"/>
    </row>
    <row r="108" s="1" customFormat="1" ht="15.75" customHeight="1" spans="4:14">
      <c r="D108" s="2"/>
      <c r="K108" s="2"/>
      <c r="N108" s="11"/>
    </row>
    <row r="109" s="1" customFormat="1" ht="15.75" customHeight="1" spans="4:14">
      <c r="D109" s="2"/>
      <c r="K109" s="2"/>
      <c r="N109" s="11"/>
    </row>
    <row r="110" s="1" customFormat="1" ht="15.75" customHeight="1" spans="4:14">
      <c r="D110" s="2"/>
      <c r="K110" s="2"/>
      <c r="N110" s="11"/>
    </row>
    <row r="111" s="1" customFormat="1" ht="15.75" customHeight="1" spans="4:14">
      <c r="D111" s="2"/>
      <c r="K111" s="2"/>
      <c r="N111" s="11"/>
    </row>
    <row r="112" s="1" customFormat="1" ht="15.75" customHeight="1" spans="4:14">
      <c r="D112" s="2"/>
      <c r="K112" s="2"/>
      <c r="N112" s="11"/>
    </row>
    <row r="113" s="1" customFormat="1" ht="15.75" customHeight="1" spans="4:14">
      <c r="D113" s="2"/>
      <c r="K113" s="2"/>
      <c r="N113" s="11"/>
    </row>
    <row r="114" s="1" customFormat="1" ht="15.75" customHeight="1" spans="4:14">
      <c r="D114" s="2"/>
      <c r="K114" s="2"/>
      <c r="N114" s="11"/>
    </row>
    <row r="115" s="1" customFormat="1" ht="15.75" customHeight="1" spans="4:14">
      <c r="D115" s="2"/>
      <c r="K115" s="2"/>
      <c r="N115" s="11"/>
    </row>
    <row r="116" s="1" customFormat="1" ht="15.75" customHeight="1" spans="4:14">
      <c r="D116" s="2"/>
      <c r="K116" s="2"/>
      <c r="N116" s="11"/>
    </row>
    <row r="117" s="1" customFormat="1" ht="15.75" customHeight="1" spans="4:14">
      <c r="D117" s="2"/>
      <c r="K117" s="2"/>
      <c r="N117" s="11"/>
    </row>
    <row r="118" s="1" customFormat="1" ht="15.75" customHeight="1" spans="4:14">
      <c r="D118" s="2"/>
      <c r="K118" s="2"/>
      <c r="N118" s="11"/>
    </row>
    <row r="119" s="1" customFormat="1" ht="15.75" customHeight="1" spans="4:14">
      <c r="D119" s="2"/>
      <c r="K119" s="2"/>
      <c r="N119" s="11"/>
    </row>
    <row r="120" s="1" customFormat="1" ht="15.75" customHeight="1" spans="4:14">
      <c r="D120" s="2"/>
      <c r="K120" s="2"/>
      <c r="N120" s="11"/>
    </row>
    <row r="121" s="1" customFormat="1" ht="15.75" customHeight="1" spans="4:14">
      <c r="D121" s="2"/>
      <c r="K121" s="2"/>
      <c r="N121" s="11"/>
    </row>
    <row r="122" s="1" customFormat="1" ht="15.75" customHeight="1" spans="4:14">
      <c r="D122" s="2"/>
      <c r="K122" s="2"/>
      <c r="N122" s="11"/>
    </row>
    <row r="123" s="1" customFormat="1" ht="15.75" customHeight="1" spans="4:14">
      <c r="D123" s="2"/>
      <c r="K123" s="2"/>
      <c r="N123" s="11"/>
    </row>
    <row r="124" s="1" customFormat="1" ht="15.75" customHeight="1" spans="4:14">
      <c r="D124" s="2"/>
      <c r="K124" s="2"/>
      <c r="N124" s="11"/>
    </row>
    <row r="125" s="1" customFormat="1" ht="15.75" customHeight="1" spans="4:14">
      <c r="D125" s="2"/>
      <c r="K125" s="2"/>
      <c r="N125" s="11"/>
    </row>
    <row r="126" s="1" customFormat="1" ht="15.75" customHeight="1" spans="4:14">
      <c r="D126" s="2"/>
      <c r="K126" s="2"/>
      <c r="N126" s="11"/>
    </row>
    <row r="127" s="1" customFormat="1" ht="15.75" customHeight="1" spans="4:14">
      <c r="D127" s="2"/>
      <c r="K127" s="2"/>
      <c r="N127" s="11"/>
    </row>
    <row r="128" s="1" customFormat="1" ht="15.75" customHeight="1" spans="4:14">
      <c r="D128" s="2"/>
      <c r="K128" s="2"/>
      <c r="N128" s="11"/>
    </row>
    <row r="129" s="1" customFormat="1" ht="15.75" customHeight="1" spans="4:14">
      <c r="D129" s="2"/>
      <c r="K129" s="2"/>
      <c r="N129" s="11"/>
    </row>
    <row r="130" s="1" customFormat="1" ht="15.75" customHeight="1" spans="4:14">
      <c r="D130" s="2"/>
      <c r="K130" s="2"/>
      <c r="N130" s="11"/>
    </row>
    <row r="131" s="1" customFormat="1" ht="15.75" customHeight="1" spans="4:14">
      <c r="D131" s="2"/>
      <c r="K131" s="2"/>
      <c r="N131" s="11"/>
    </row>
    <row r="132" s="1" customFormat="1" ht="15.75" customHeight="1" spans="4:14">
      <c r="D132" s="2"/>
      <c r="K132" s="2"/>
      <c r="N132" s="11"/>
    </row>
    <row r="133" s="1" customFormat="1" ht="15.75" customHeight="1" spans="4:14">
      <c r="D133" s="2"/>
      <c r="K133" s="2"/>
      <c r="N133" s="11"/>
    </row>
    <row r="134" s="1" customFormat="1" ht="15.75" customHeight="1" spans="4:14">
      <c r="D134" s="2"/>
      <c r="K134" s="2"/>
      <c r="N134" s="11"/>
    </row>
    <row r="135" s="1" customFormat="1" ht="15.75" customHeight="1" spans="4:14">
      <c r="D135" s="2"/>
      <c r="K135" s="2"/>
      <c r="N135" s="11"/>
    </row>
    <row r="136" s="1" customFormat="1" ht="15.75" customHeight="1" spans="4:14">
      <c r="D136" s="2"/>
      <c r="K136" s="2"/>
      <c r="N136" s="11"/>
    </row>
    <row r="137" s="1" customFormat="1" ht="15.75" customHeight="1" spans="4:14">
      <c r="D137" s="2"/>
      <c r="K137" s="2"/>
      <c r="N137" s="11"/>
    </row>
    <row r="138" s="1" customFormat="1" ht="15.75" customHeight="1" spans="4:14">
      <c r="D138" s="2"/>
      <c r="K138" s="2"/>
      <c r="N138" s="11"/>
    </row>
    <row r="139" s="1" customFormat="1" ht="15.75" customHeight="1" spans="4:14">
      <c r="D139" s="2"/>
      <c r="K139" s="2"/>
      <c r="N139" s="11"/>
    </row>
    <row r="140" s="1" customFormat="1" ht="15.75" customHeight="1" spans="4:14">
      <c r="D140" s="2"/>
      <c r="K140" s="2"/>
      <c r="N140" s="11"/>
    </row>
    <row r="141" s="1" customFormat="1" ht="15.75" customHeight="1" spans="4:14">
      <c r="D141" s="2"/>
      <c r="K141" s="2"/>
      <c r="N141" s="11"/>
    </row>
    <row r="142" s="1" customFormat="1" ht="15.75" customHeight="1" spans="4:14">
      <c r="D142" s="2"/>
      <c r="K142" s="2"/>
      <c r="N142" s="11"/>
    </row>
    <row r="143" s="1" customFormat="1" ht="15.75" customHeight="1" spans="4:14">
      <c r="D143" s="2"/>
      <c r="K143" s="2"/>
      <c r="N143" s="11"/>
    </row>
    <row r="144" s="1" customFormat="1" ht="15.75" customHeight="1" spans="4:14">
      <c r="D144" s="2"/>
      <c r="K144" s="2"/>
      <c r="N144" s="11"/>
    </row>
    <row r="145" s="1" customFormat="1" ht="15.75" customHeight="1" spans="4:14">
      <c r="D145" s="2"/>
      <c r="K145" s="2"/>
      <c r="N145" s="11"/>
    </row>
    <row r="146" s="1" customFormat="1" ht="15.75" customHeight="1" spans="4:14">
      <c r="D146" s="2"/>
      <c r="K146" s="2"/>
      <c r="N146" s="11"/>
    </row>
    <row r="147" s="1" customFormat="1" ht="15.75" customHeight="1" spans="4:14">
      <c r="D147" s="2"/>
      <c r="K147" s="2"/>
      <c r="N147" s="11"/>
    </row>
    <row r="148" s="1" customFormat="1" ht="15.75" customHeight="1" spans="4:14">
      <c r="D148" s="2"/>
      <c r="K148" s="2"/>
      <c r="N148" s="11"/>
    </row>
    <row r="149" s="1" customFormat="1" ht="15.75" customHeight="1" spans="4:14">
      <c r="D149" s="2"/>
      <c r="K149" s="2"/>
      <c r="N149" s="11"/>
    </row>
    <row r="150" s="1" customFormat="1" ht="15.75" customHeight="1" spans="4:14">
      <c r="D150" s="2"/>
      <c r="K150" s="2"/>
      <c r="N150" s="11"/>
    </row>
    <row r="151" s="1" customFormat="1" ht="15.75" customHeight="1" spans="4:14">
      <c r="D151" s="2"/>
      <c r="K151" s="2"/>
      <c r="N151" s="11"/>
    </row>
    <row r="152" s="1" customFormat="1" ht="15.75" customHeight="1" spans="4:14">
      <c r="D152" s="2"/>
      <c r="K152" s="2"/>
      <c r="N152" s="11"/>
    </row>
    <row r="153" s="1" customFormat="1" ht="15.75" customHeight="1" spans="4:14">
      <c r="D153" s="2"/>
      <c r="K153" s="2"/>
      <c r="N153" s="11"/>
    </row>
    <row r="154" s="1" customFormat="1" ht="15.75" customHeight="1" spans="4:14">
      <c r="D154" s="2"/>
      <c r="K154" s="2"/>
      <c r="N154" s="11"/>
    </row>
    <row r="155" s="1" customFormat="1" ht="15.75" customHeight="1" spans="4:14">
      <c r="D155" s="2"/>
      <c r="K155" s="2"/>
      <c r="N155" s="11"/>
    </row>
    <row r="156" s="1" customFormat="1" ht="15.75" customHeight="1" spans="4:14">
      <c r="D156" s="2"/>
      <c r="K156" s="2"/>
      <c r="N156" s="11"/>
    </row>
    <row r="157" s="1" customFormat="1" ht="15.75" customHeight="1" spans="4:14">
      <c r="D157" s="2"/>
      <c r="K157" s="2"/>
      <c r="N157" s="11"/>
    </row>
    <row r="158" s="1" customFormat="1" ht="15.75" customHeight="1" spans="4:14">
      <c r="D158" s="2"/>
      <c r="K158" s="2"/>
      <c r="N158" s="11"/>
    </row>
    <row r="159" s="1" customFormat="1" ht="15.75" customHeight="1" spans="4:14">
      <c r="D159" s="2"/>
      <c r="K159" s="2"/>
      <c r="N159" s="11"/>
    </row>
    <row r="160" s="1" customFormat="1" ht="15.75" customHeight="1" spans="4:14">
      <c r="D160" s="2"/>
      <c r="K160" s="2"/>
      <c r="N160" s="11"/>
    </row>
    <row r="161" s="1" customFormat="1" ht="15.75" customHeight="1" spans="4:14">
      <c r="D161" s="2"/>
      <c r="K161" s="2"/>
      <c r="N161" s="11"/>
    </row>
    <row r="162" s="1" customFormat="1" ht="15.75" customHeight="1" spans="4:14">
      <c r="D162" s="2"/>
      <c r="K162" s="2"/>
      <c r="N162" s="11"/>
    </row>
    <row r="163" s="1" customFormat="1" ht="15.75" customHeight="1" spans="4:14">
      <c r="D163" s="2"/>
      <c r="K163" s="2"/>
      <c r="N163" s="11"/>
    </row>
    <row r="164" s="1" customFormat="1" ht="15.75" customHeight="1" spans="4:14">
      <c r="D164" s="2"/>
      <c r="K164" s="2"/>
      <c r="N164" s="11"/>
    </row>
    <row r="165" s="1" customFormat="1" ht="15.75" customHeight="1" spans="4:14">
      <c r="D165" s="2"/>
      <c r="K165" s="2"/>
      <c r="N165" s="11"/>
    </row>
    <row r="166" s="1" customFormat="1" ht="15.75" customHeight="1" spans="4:14">
      <c r="D166" s="2"/>
      <c r="K166" s="2"/>
      <c r="N166" s="11"/>
    </row>
    <row r="167" s="1" customFormat="1" ht="15.75" customHeight="1" spans="4:14">
      <c r="D167" s="2"/>
      <c r="K167" s="2"/>
      <c r="N167" s="11"/>
    </row>
    <row r="168" s="1" customFormat="1" ht="15.75" customHeight="1" spans="4:14">
      <c r="D168" s="2"/>
      <c r="K168" s="2"/>
      <c r="N168" s="11"/>
    </row>
    <row r="169" s="1" customFormat="1" ht="15.75" customHeight="1" spans="4:14">
      <c r="D169" s="2"/>
      <c r="K169" s="2"/>
      <c r="N169" s="11"/>
    </row>
    <row r="170" s="1" customFormat="1" ht="15.75" customHeight="1" spans="4:14">
      <c r="D170" s="2"/>
      <c r="K170" s="2"/>
      <c r="N170" s="11"/>
    </row>
    <row r="171" s="1" customFormat="1" ht="15.75" customHeight="1" spans="4:14">
      <c r="D171" s="2"/>
      <c r="K171" s="2"/>
      <c r="N171" s="11"/>
    </row>
    <row r="172" s="1" customFormat="1" ht="15.75" customHeight="1" spans="4:14">
      <c r="D172" s="2"/>
      <c r="K172" s="2"/>
      <c r="N172" s="11"/>
    </row>
    <row r="173" s="1" customFormat="1" ht="15.75" customHeight="1" spans="4:14">
      <c r="D173" s="2"/>
      <c r="K173" s="2"/>
      <c r="N173" s="11"/>
    </row>
    <row r="174" s="1" customFormat="1" ht="15.75" customHeight="1" spans="4:14">
      <c r="D174" s="2"/>
      <c r="K174" s="2"/>
      <c r="N174" s="11"/>
    </row>
    <row r="175" s="1" customFormat="1" ht="15.75" customHeight="1" spans="4:14">
      <c r="D175" s="2"/>
      <c r="K175" s="2"/>
      <c r="N175" s="11"/>
    </row>
    <row r="176" s="1" customFormat="1" ht="15.75" customHeight="1" spans="4:14">
      <c r="D176" s="2"/>
      <c r="K176" s="2"/>
      <c r="N176" s="11"/>
    </row>
    <row r="177" s="1" customFormat="1" ht="15.75" customHeight="1" spans="4:14">
      <c r="D177" s="2"/>
      <c r="K177" s="2"/>
      <c r="N177" s="11"/>
    </row>
    <row r="178" s="1" customFormat="1" ht="15.75" customHeight="1" spans="4:14">
      <c r="D178" s="2"/>
      <c r="K178" s="2"/>
      <c r="N178" s="11"/>
    </row>
    <row r="179" s="1" customFormat="1" ht="15.75" customHeight="1" spans="4:14">
      <c r="D179" s="2"/>
      <c r="K179" s="2"/>
      <c r="N179" s="11"/>
    </row>
    <row r="180" s="1" customFormat="1" ht="15.75" customHeight="1" spans="4:14">
      <c r="D180" s="2"/>
      <c r="K180" s="2"/>
      <c r="N180" s="11"/>
    </row>
    <row r="181" s="1" customFormat="1" ht="15.75" customHeight="1" spans="4:14">
      <c r="D181" s="2"/>
      <c r="K181" s="2"/>
      <c r="N181" s="11"/>
    </row>
    <row r="182" s="1" customFormat="1" ht="15.75" customHeight="1" spans="4:14">
      <c r="D182" s="2"/>
      <c r="K182" s="2"/>
      <c r="N182" s="11"/>
    </row>
    <row r="183" s="1" customFormat="1" ht="15.75" customHeight="1" spans="4:14">
      <c r="D183" s="2"/>
      <c r="K183" s="2"/>
      <c r="N183" s="11"/>
    </row>
    <row r="184" s="1" customFormat="1" ht="15.75" customHeight="1" spans="4:14">
      <c r="D184" s="2"/>
      <c r="K184" s="2"/>
      <c r="N184" s="11"/>
    </row>
    <row r="185" s="1" customFormat="1" ht="15.75" customHeight="1" spans="4:14">
      <c r="D185" s="2"/>
      <c r="K185" s="2"/>
      <c r="N185" s="11"/>
    </row>
    <row r="186" s="1" customFormat="1" ht="15.75" customHeight="1" spans="4:14">
      <c r="D186" s="2"/>
      <c r="K186" s="2"/>
      <c r="N186" s="11"/>
    </row>
    <row r="187" s="1" customFormat="1" ht="15.75" customHeight="1" spans="4:14">
      <c r="D187" s="2"/>
      <c r="K187" s="2"/>
      <c r="N187" s="11"/>
    </row>
    <row r="188" s="1" customFormat="1" ht="15.75" customHeight="1" spans="4:14">
      <c r="D188" s="2"/>
      <c r="K188" s="2"/>
      <c r="N188" s="11"/>
    </row>
    <row r="189" s="1" customFormat="1" ht="15.75" customHeight="1" spans="4:14">
      <c r="D189" s="2"/>
      <c r="K189" s="2"/>
      <c r="N189" s="11"/>
    </row>
    <row r="190" s="1" customFormat="1" ht="15.75" customHeight="1" spans="4:14">
      <c r="D190" s="2"/>
      <c r="K190" s="2"/>
      <c r="N190" s="11"/>
    </row>
    <row r="191" s="1" customFormat="1" ht="15.75" customHeight="1" spans="4:14">
      <c r="D191" s="2"/>
      <c r="K191" s="2"/>
      <c r="N191" s="11"/>
    </row>
    <row r="192" s="1" customFormat="1" ht="15.75" customHeight="1" spans="4:14">
      <c r="D192" s="2"/>
      <c r="K192" s="2"/>
      <c r="N192" s="11"/>
    </row>
    <row r="193" s="1" customFormat="1" ht="15.75" customHeight="1" spans="4:14">
      <c r="D193" s="2"/>
      <c r="K193" s="2"/>
      <c r="N193" s="11"/>
    </row>
    <row r="194" s="1" customFormat="1" ht="15.75" customHeight="1" spans="4:14">
      <c r="D194" s="2"/>
      <c r="K194" s="2"/>
      <c r="N194" s="11"/>
    </row>
    <row r="195" s="1" customFormat="1" ht="15.75" customHeight="1" spans="4:14">
      <c r="D195" s="2"/>
      <c r="K195" s="2"/>
      <c r="N195" s="11"/>
    </row>
    <row r="196" s="1" customFormat="1" ht="15.75" customHeight="1" spans="4:14">
      <c r="D196" s="2"/>
      <c r="K196" s="2"/>
      <c r="N196" s="11"/>
    </row>
    <row r="197" s="1" customFormat="1" ht="15.75" customHeight="1" spans="4:14">
      <c r="D197" s="2"/>
      <c r="K197" s="2"/>
      <c r="N197" s="11"/>
    </row>
    <row r="198" s="1" customFormat="1" ht="15.75" customHeight="1" spans="4:14">
      <c r="D198" s="2"/>
      <c r="K198" s="2"/>
      <c r="N198" s="11"/>
    </row>
    <row r="199" s="1" customFormat="1" ht="15.75" customHeight="1" spans="4:14">
      <c r="D199" s="2"/>
      <c r="K199" s="2"/>
      <c r="N199" s="11"/>
    </row>
    <row r="200" s="1" customFormat="1" ht="15.75" customHeight="1" spans="4:14">
      <c r="D200" s="2"/>
      <c r="K200" s="2"/>
      <c r="N200" s="11"/>
    </row>
    <row r="201" s="1" customFormat="1" ht="15.75" customHeight="1" spans="4:14">
      <c r="D201" s="2"/>
      <c r="K201" s="2"/>
      <c r="N201" s="11"/>
    </row>
    <row r="202" s="1" customFormat="1" ht="15.75" customHeight="1" spans="4:14">
      <c r="D202" s="2"/>
      <c r="K202" s="2"/>
      <c r="N202" s="11"/>
    </row>
    <row r="203" s="1" customFormat="1" ht="15.75" customHeight="1" spans="4:14">
      <c r="D203" s="2"/>
      <c r="K203" s="2"/>
      <c r="N203" s="11"/>
    </row>
    <row r="204" s="1" customFormat="1" ht="15.75" customHeight="1" spans="4:14">
      <c r="D204" s="2"/>
      <c r="K204" s="2"/>
      <c r="N204" s="11"/>
    </row>
    <row r="205" s="1" customFormat="1" ht="15.75" customHeight="1" spans="4:14">
      <c r="D205" s="2"/>
      <c r="K205" s="2"/>
      <c r="N205" s="11"/>
    </row>
    <row r="206" s="1" customFormat="1" ht="15.75" customHeight="1" spans="4:14">
      <c r="D206" s="2"/>
      <c r="K206" s="2"/>
      <c r="N206" s="11"/>
    </row>
    <row r="207" s="1" customFormat="1" ht="15.75" customHeight="1" spans="4:14">
      <c r="D207" s="2"/>
      <c r="K207" s="2"/>
      <c r="N207" s="11"/>
    </row>
    <row r="208" s="1" customFormat="1" ht="15.75" customHeight="1" spans="4:14">
      <c r="D208" s="2"/>
      <c r="K208" s="2"/>
      <c r="N208" s="11"/>
    </row>
    <row r="209" s="1" customFormat="1" ht="15.75" customHeight="1" spans="4:14">
      <c r="D209" s="2"/>
      <c r="K209" s="2"/>
      <c r="N209" s="11"/>
    </row>
    <row r="210" s="1" customFormat="1" ht="15.75" customHeight="1" spans="4:14">
      <c r="D210" s="2"/>
      <c r="K210" s="2"/>
      <c r="N210" s="11"/>
    </row>
    <row r="211" s="1" customFormat="1" ht="15.75" customHeight="1" spans="4:14">
      <c r="D211" s="2"/>
      <c r="K211" s="2"/>
      <c r="N211" s="11"/>
    </row>
    <row r="212" s="1" customFormat="1" ht="15.75" customHeight="1" spans="4:14">
      <c r="D212" s="2"/>
      <c r="K212" s="2"/>
      <c r="N212" s="11"/>
    </row>
    <row r="213" s="1" customFormat="1" ht="15.75" customHeight="1" spans="4:14">
      <c r="D213" s="2"/>
      <c r="K213" s="2"/>
      <c r="N213" s="11"/>
    </row>
    <row r="214" s="1" customFormat="1" ht="15.75" customHeight="1" spans="4:14">
      <c r="D214" s="2"/>
      <c r="K214" s="2"/>
      <c r="N214" s="11"/>
    </row>
    <row r="215" s="1" customFormat="1" ht="15.75" customHeight="1" spans="4:14">
      <c r="D215" s="2"/>
      <c r="K215" s="2"/>
      <c r="N215" s="11"/>
    </row>
    <row r="216" s="1" customFormat="1" ht="15.75" customHeight="1" spans="4:14">
      <c r="D216" s="2"/>
      <c r="K216" s="2"/>
      <c r="N216" s="11"/>
    </row>
    <row r="217" s="1" customFormat="1" ht="15.75" customHeight="1" spans="4:14">
      <c r="D217" s="2"/>
      <c r="K217" s="2"/>
      <c r="N217" s="11"/>
    </row>
    <row r="218" s="1" customFormat="1" ht="15.75" customHeight="1" spans="4:14">
      <c r="D218" s="2"/>
      <c r="K218" s="2"/>
      <c r="N218" s="11"/>
    </row>
    <row r="219" s="1" customFormat="1" ht="15.75" customHeight="1" spans="4:14">
      <c r="D219" s="2"/>
      <c r="K219" s="2"/>
      <c r="N219" s="11"/>
    </row>
    <row r="220" s="1" customFormat="1" ht="15.75" customHeight="1" spans="4:14">
      <c r="D220" s="2"/>
      <c r="K220" s="2"/>
      <c r="N220" s="11"/>
    </row>
    <row r="221" s="1" customFormat="1" ht="15.75" customHeight="1" spans="4:14">
      <c r="D221" s="2"/>
      <c r="K221" s="2"/>
      <c r="N221" s="11"/>
    </row>
    <row r="222" s="1" customFormat="1" ht="15.75" customHeight="1" spans="4:14">
      <c r="D222" s="2"/>
      <c r="K222" s="2"/>
      <c r="N222" s="11"/>
    </row>
    <row r="223" s="1" customFormat="1" ht="15.75" customHeight="1" spans="4:14">
      <c r="D223" s="2"/>
      <c r="K223" s="2"/>
      <c r="N223" s="11"/>
    </row>
    <row r="224" s="1" customFormat="1" ht="15.75" customHeight="1" spans="4:14">
      <c r="D224" s="2"/>
      <c r="K224" s="2"/>
      <c r="N224" s="11"/>
    </row>
    <row r="225" s="1" customFormat="1" ht="15.75" customHeight="1" spans="4:14">
      <c r="D225" s="2"/>
      <c r="K225" s="2"/>
      <c r="N225" s="11"/>
    </row>
    <row r="226" s="1" customFormat="1" ht="15.75" customHeight="1" spans="4:14">
      <c r="D226" s="2"/>
      <c r="K226" s="2"/>
      <c r="N226" s="11"/>
    </row>
    <row r="227" s="1" customFormat="1" ht="15.75" customHeight="1" spans="4:14">
      <c r="D227" s="2"/>
      <c r="K227" s="2"/>
      <c r="N227" s="11"/>
    </row>
    <row r="228" s="1" customFormat="1" ht="15.75" customHeight="1" spans="4:14">
      <c r="D228" s="2"/>
      <c r="K228" s="2"/>
      <c r="N228" s="11"/>
    </row>
    <row r="229" s="1" customFormat="1" ht="15.75" customHeight="1" spans="4:14">
      <c r="D229" s="2"/>
      <c r="K229" s="2"/>
      <c r="N229" s="11"/>
    </row>
    <row r="230" s="1" customFormat="1" ht="15.75" customHeight="1" spans="4:14">
      <c r="D230" s="2"/>
      <c r="K230" s="2"/>
      <c r="N230" s="11"/>
    </row>
    <row r="231" s="1" customFormat="1" ht="15.75" customHeight="1" spans="4:14">
      <c r="D231" s="2"/>
      <c r="K231" s="2"/>
      <c r="N231" s="11"/>
    </row>
    <row r="232" s="1" customFormat="1" ht="15.75" customHeight="1" spans="4:14">
      <c r="D232" s="2"/>
      <c r="K232" s="2"/>
      <c r="N232" s="11"/>
    </row>
    <row r="233" s="1" customFormat="1" ht="15.75" customHeight="1" spans="4:14">
      <c r="D233" s="2"/>
      <c r="K233" s="2"/>
      <c r="N233" s="11"/>
    </row>
    <row r="234" s="1" customFormat="1" ht="15.75" customHeight="1" spans="4:14">
      <c r="D234" s="2"/>
      <c r="K234" s="2"/>
      <c r="N234" s="11"/>
    </row>
    <row r="235" s="1" customFormat="1" ht="15.75" customHeight="1" spans="4:14">
      <c r="D235" s="2"/>
      <c r="K235" s="2"/>
      <c r="N235" s="11"/>
    </row>
    <row r="236" s="1" customFormat="1" ht="15.75" customHeight="1" spans="4:14">
      <c r="D236" s="2"/>
      <c r="K236" s="2"/>
      <c r="N236" s="11"/>
    </row>
    <row r="237" s="1" customFormat="1" ht="15.75" customHeight="1" spans="4:14">
      <c r="D237" s="2"/>
      <c r="K237" s="2"/>
      <c r="N237" s="11"/>
    </row>
    <row r="238" s="1" customFormat="1" ht="15.75" customHeight="1" spans="4:14">
      <c r="D238" s="2"/>
      <c r="K238" s="2"/>
      <c r="N238" s="11"/>
    </row>
    <row r="239" s="1" customFormat="1" ht="15.75" customHeight="1" spans="4:14">
      <c r="D239" s="2"/>
      <c r="K239" s="2"/>
      <c r="N239" s="11"/>
    </row>
    <row r="240" s="1" customFormat="1" ht="15.75" customHeight="1" spans="4:14">
      <c r="D240" s="2"/>
      <c r="K240" s="2"/>
      <c r="N240" s="11"/>
    </row>
    <row r="241" s="1" customFormat="1" ht="15.75" customHeight="1" spans="4:14">
      <c r="D241" s="2"/>
      <c r="K241" s="2"/>
      <c r="N241" s="11"/>
    </row>
    <row r="242" s="1" customFormat="1" ht="15.75" customHeight="1" spans="4:14">
      <c r="D242" s="2"/>
      <c r="K242" s="2"/>
      <c r="N242" s="11"/>
    </row>
    <row r="243" s="1" customFormat="1" ht="15.75" customHeight="1" spans="4:14">
      <c r="D243" s="2"/>
      <c r="K243" s="2"/>
      <c r="N243" s="11"/>
    </row>
    <row r="244" s="1" customFormat="1" ht="15.75" customHeight="1" spans="4:14">
      <c r="D244" s="2"/>
      <c r="K244" s="2"/>
      <c r="N244" s="11"/>
    </row>
    <row r="245" s="1" customFormat="1" ht="15.75" customHeight="1" spans="4:14">
      <c r="D245" s="2"/>
      <c r="K245" s="2"/>
      <c r="N245" s="11"/>
    </row>
    <row r="246" s="1" customFormat="1" ht="15.75" customHeight="1" spans="4:14">
      <c r="D246" s="2"/>
      <c r="K246" s="2"/>
      <c r="N246" s="11"/>
    </row>
    <row r="247" s="1" customFormat="1" ht="15.75" customHeight="1" spans="4:14">
      <c r="D247" s="2"/>
      <c r="K247" s="2"/>
      <c r="N247" s="11"/>
    </row>
    <row r="248" s="1" customFormat="1" ht="15.75" customHeight="1" spans="4:14">
      <c r="D248" s="2"/>
      <c r="K248" s="2"/>
      <c r="N248" s="11"/>
    </row>
    <row r="249" s="1" customFormat="1" ht="15.75" customHeight="1" spans="4:14">
      <c r="D249" s="2"/>
      <c r="K249" s="2"/>
      <c r="N249" s="11"/>
    </row>
    <row r="250" s="1" customFormat="1" ht="15.75" customHeight="1" spans="4:14">
      <c r="D250" s="2"/>
      <c r="K250" s="2"/>
      <c r="N250" s="11"/>
    </row>
    <row r="251" s="1" customFormat="1" ht="15.75" customHeight="1" spans="4:14">
      <c r="D251" s="2"/>
      <c r="K251" s="2"/>
      <c r="N251" s="11"/>
    </row>
    <row r="252" s="1" customFormat="1" ht="15.75" customHeight="1" spans="4:14">
      <c r="D252" s="2"/>
      <c r="K252" s="2"/>
      <c r="N252" s="11"/>
    </row>
    <row r="253" s="1" customFormat="1" ht="15.75" customHeight="1" spans="4:14">
      <c r="D253" s="2"/>
      <c r="K253" s="2"/>
      <c r="N253" s="11"/>
    </row>
    <row r="254" s="1" customFormat="1" ht="15.75" customHeight="1" spans="4:14">
      <c r="D254" s="2"/>
      <c r="K254" s="2"/>
      <c r="N254" s="11"/>
    </row>
    <row r="255" s="1" customFormat="1" ht="15.75" customHeight="1" spans="4:14">
      <c r="D255" s="2"/>
      <c r="K255" s="2"/>
      <c r="N255" s="11"/>
    </row>
    <row r="256" s="1" customFormat="1" ht="15.75" customHeight="1" spans="4:14">
      <c r="D256" s="2"/>
      <c r="K256" s="2"/>
      <c r="N256" s="11"/>
    </row>
    <row r="257" s="1" customFormat="1" ht="15.75" customHeight="1" spans="4:14">
      <c r="D257" s="2"/>
      <c r="K257" s="2"/>
      <c r="N257" s="11"/>
    </row>
    <row r="258" s="1" customFormat="1" ht="15.75" customHeight="1" spans="4:14">
      <c r="D258" s="2"/>
      <c r="K258" s="2"/>
      <c r="N258" s="11"/>
    </row>
    <row r="259" s="1" customFormat="1" ht="15.75" customHeight="1" spans="4:14">
      <c r="D259" s="2"/>
      <c r="K259" s="2"/>
      <c r="N259" s="11"/>
    </row>
    <row r="260" s="1" customFormat="1" ht="15.75" customHeight="1" spans="4:14">
      <c r="D260" s="2"/>
      <c r="K260" s="2"/>
      <c r="N260" s="11"/>
    </row>
    <row r="261" s="1" customFormat="1" ht="15.75" customHeight="1" spans="4:14">
      <c r="D261" s="2"/>
      <c r="K261" s="2"/>
      <c r="N261" s="11"/>
    </row>
    <row r="262" s="1" customFormat="1" ht="15.75" customHeight="1" spans="4:14">
      <c r="D262" s="2"/>
      <c r="K262" s="2"/>
      <c r="N262" s="11"/>
    </row>
    <row r="263" s="1" customFormat="1" ht="15.75" customHeight="1" spans="4:14">
      <c r="D263" s="2"/>
      <c r="K263" s="2"/>
      <c r="N263" s="11"/>
    </row>
    <row r="264" s="1" customFormat="1" ht="15.75" customHeight="1" spans="4:14">
      <c r="D264" s="2"/>
      <c r="K264" s="2"/>
      <c r="N264" s="11"/>
    </row>
    <row r="265" s="1" customFormat="1" ht="15.75" customHeight="1" spans="4:14">
      <c r="D265" s="2"/>
      <c r="K265" s="2"/>
      <c r="N265" s="11"/>
    </row>
    <row r="266" s="1" customFormat="1" ht="15.75" customHeight="1" spans="4:14">
      <c r="D266" s="2"/>
      <c r="K266" s="2"/>
      <c r="N266" s="11"/>
    </row>
    <row r="267" s="1" customFormat="1" ht="15.75" customHeight="1" spans="4:14">
      <c r="D267" s="2"/>
      <c r="K267" s="2"/>
      <c r="N267" s="11"/>
    </row>
    <row r="268" s="1" customFormat="1" ht="15.75" customHeight="1" spans="4:14">
      <c r="D268" s="2"/>
      <c r="K268" s="2"/>
      <c r="N268" s="11"/>
    </row>
    <row r="269" s="1" customFormat="1" ht="15.75" customHeight="1" spans="4:14">
      <c r="D269" s="2"/>
      <c r="K269" s="2"/>
      <c r="N269" s="11"/>
    </row>
    <row r="270" s="1" customFormat="1" ht="15.75" customHeight="1" spans="4:14">
      <c r="D270" s="2"/>
      <c r="K270" s="2"/>
      <c r="N270" s="11"/>
    </row>
    <row r="271" s="1" customFormat="1" ht="15.75" customHeight="1" spans="4:14">
      <c r="D271" s="2"/>
      <c r="K271" s="2"/>
      <c r="N271" s="11"/>
    </row>
    <row r="272" s="1" customFormat="1" ht="15.75" customHeight="1" spans="4:14">
      <c r="D272" s="2"/>
      <c r="K272" s="2"/>
      <c r="N272" s="11"/>
    </row>
    <row r="273" s="1" customFormat="1" ht="15.75" customHeight="1" spans="4:14">
      <c r="D273" s="2"/>
      <c r="K273" s="2"/>
      <c r="N273" s="11"/>
    </row>
    <row r="274" s="1" customFormat="1" ht="15.75" customHeight="1" spans="4:14">
      <c r="D274" s="2"/>
      <c r="K274" s="2"/>
      <c r="N274" s="11"/>
    </row>
    <row r="275" s="1" customFormat="1" ht="15.75" customHeight="1" spans="4:14">
      <c r="D275" s="2"/>
      <c r="K275" s="2"/>
      <c r="N275" s="11"/>
    </row>
    <row r="276" s="1" customFormat="1" ht="15.75" customHeight="1" spans="4:14">
      <c r="D276" s="2"/>
      <c r="K276" s="2"/>
      <c r="N276" s="11"/>
    </row>
    <row r="277" s="1" customFormat="1" ht="15.75" customHeight="1" spans="4:14">
      <c r="D277" s="2"/>
      <c r="K277" s="2"/>
      <c r="N277" s="11"/>
    </row>
    <row r="278" s="1" customFormat="1" ht="15.75" customHeight="1" spans="4:14">
      <c r="D278" s="2"/>
      <c r="K278" s="2"/>
      <c r="N278" s="11"/>
    </row>
    <row r="279" s="1" customFormat="1" ht="15.75" customHeight="1" spans="4:14">
      <c r="D279" s="2"/>
      <c r="K279" s="2"/>
      <c r="N279" s="11"/>
    </row>
    <row r="280" s="1" customFormat="1" ht="15.75" customHeight="1" spans="4:14">
      <c r="D280" s="2"/>
      <c r="K280" s="2"/>
      <c r="N280" s="11"/>
    </row>
    <row r="281" s="1" customFormat="1" ht="15.75" customHeight="1" spans="4:14">
      <c r="D281" s="2"/>
      <c r="K281" s="2"/>
      <c r="N281" s="11"/>
    </row>
    <row r="282" s="1" customFormat="1" ht="15.75" customHeight="1" spans="4:14">
      <c r="D282" s="2"/>
      <c r="K282" s="2"/>
      <c r="N282" s="11"/>
    </row>
    <row r="283" s="1" customFormat="1" ht="15.75" customHeight="1" spans="4:14">
      <c r="D283" s="2"/>
      <c r="K283" s="2"/>
      <c r="N283" s="11"/>
    </row>
    <row r="284" s="1" customFormat="1" ht="15.75" customHeight="1" spans="4:14">
      <c r="D284" s="2"/>
      <c r="K284" s="2"/>
      <c r="N284" s="11"/>
    </row>
    <row r="285" s="1" customFormat="1" ht="15.75" customHeight="1" spans="4:14">
      <c r="D285" s="2"/>
      <c r="K285" s="2"/>
      <c r="N285" s="11"/>
    </row>
    <row r="286" s="1" customFormat="1" ht="15.75" customHeight="1" spans="4:14">
      <c r="D286" s="2"/>
      <c r="K286" s="2"/>
      <c r="N286" s="11"/>
    </row>
    <row r="287" s="1" customFormat="1" ht="15.75" customHeight="1" spans="4:14">
      <c r="D287" s="2"/>
      <c r="K287" s="2"/>
      <c r="N287" s="11"/>
    </row>
    <row r="288" s="1" customFormat="1" ht="15.75" customHeight="1" spans="4:14">
      <c r="D288" s="2"/>
      <c r="K288" s="2"/>
      <c r="N288" s="11"/>
    </row>
    <row r="289" s="1" customFormat="1" ht="15.75" customHeight="1" spans="4:14">
      <c r="D289" s="2"/>
      <c r="K289" s="2"/>
      <c r="N289" s="11"/>
    </row>
    <row r="290" s="1" customFormat="1" ht="15.75" customHeight="1" spans="4:14">
      <c r="D290" s="2"/>
      <c r="K290" s="2"/>
      <c r="N290" s="11"/>
    </row>
    <row r="291" s="1" customFormat="1" ht="15.75" customHeight="1" spans="4:14">
      <c r="D291" s="2"/>
      <c r="K291" s="2"/>
      <c r="N291" s="11"/>
    </row>
    <row r="292" s="1" customFormat="1" ht="15.75" customHeight="1" spans="4:14">
      <c r="D292" s="2"/>
      <c r="K292" s="2"/>
      <c r="N292" s="11"/>
    </row>
    <row r="293" s="1" customFormat="1" ht="15.75" customHeight="1" spans="4:14">
      <c r="D293" s="2"/>
      <c r="K293" s="2"/>
      <c r="N293" s="11"/>
    </row>
    <row r="294" s="1" customFormat="1" ht="15.75" customHeight="1" spans="4:14">
      <c r="D294" s="2"/>
      <c r="K294" s="2"/>
      <c r="N294" s="11"/>
    </row>
    <row r="295" s="1" customFormat="1" ht="15.75" customHeight="1" spans="4:14">
      <c r="D295" s="2"/>
      <c r="K295" s="2"/>
      <c r="N295" s="11"/>
    </row>
    <row r="296" s="1" customFormat="1" ht="15.75" customHeight="1" spans="4:14">
      <c r="D296" s="2"/>
      <c r="K296" s="2"/>
      <c r="N296" s="11"/>
    </row>
    <row r="297" s="1" customFormat="1" ht="15.75" customHeight="1" spans="4:14">
      <c r="D297" s="2"/>
      <c r="K297" s="2"/>
      <c r="N297" s="11"/>
    </row>
    <row r="298" s="1" customFormat="1" ht="15.75" customHeight="1" spans="4:14">
      <c r="D298" s="2"/>
      <c r="K298" s="2"/>
      <c r="N298" s="11"/>
    </row>
    <row r="299" s="1" customFormat="1" ht="15.75" customHeight="1" spans="4:14">
      <c r="D299" s="2"/>
      <c r="K299" s="2"/>
      <c r="N299" s="11"/>
    </row>
    <row r="300" s="1" customFormat="1" ht="15.75" customHeight="1" spans="4:14">
      <c r="D300" s="2"/>
      <c r="K300" s="2"/>
      <c r="N300" s="11"/>
    </row>
    <row r="301" s="1" customFormat="1" ht="15.75" customHeight="1" spans="4:14">
      <c r="D301" s="2"/>
      <c r="K301" s="2"/>
      <c r="N301" s="11"/>
    </row>
    <row r="302" s="1" customFormat="1" ht="15.75" customHeight="1" spans="4:14">
      <c r="D302" s="2"/>
      <c r="K302" s="2"/>
      <c r="N302" s="11"/>
    </row>
    <row r="303" s="1" customFormat="1" ht="15.75" customHeight="1" spans="4:14">
      <c r="D303" s="2"/>
      <c r="K303" s="2"/>
      <c r="N303" s="11"/>
    </row>
    <row r="304" s="1" customFormat="1" ht="15.75" customHeight="1" spans="4:14">
      <c r="D304" s="2"/>
      <c r="K304" s="2"/>
      <c r="N304" s="11"/>
    </row>
    <row r="305" s="1" customFormat="1" ht="15.75" customHeight="1" spans="4:14">
      <c r="D305" s="2"/>
      <c r="K305" s="2"/>
      <c r="N305" s="11"/>
    </row>
    <row r="306" s="1" customFormat="1" ht="15.75" customHeight="1" spans="4:14">
      <c r="D306" s="2"/>
      <c r="K306" s="2"/>
      <c r="N306" s="11"/>
    </row>
    <row r="307" s="1" customFormat="1" ht="15.75" customHeight="1" spans="4:14">
      <c r="D307" s="2"/>
      <c r="K307" s="2"/>
      <c r="N307" s="11"/>
    </row>
    <row r="308" s="1" customFormat="1" ht="15.75" customHeight="1" spans="4:14">
      <c r="D308" s="2"/>
      <c r="K308" s="2"/>
      <c r="N308" s="11"/>
    </row>
    <row r="309" s="1" customFormat="1" ht="15.75" customHeight="1" spans="4:14">
      <c r="D309" s="2"/>
      <c r="K309" s="2"/>
      <c r="N309" s="11"/>
    </row>
    <row r="310" s="1" customFormat="1" ht="15.75" customHeight="1" spans="4:14">
      <c r="D310" s="2"/>
      <c r="K310" s="2"/>
      <c r="N310" s="11"/>
    </row>
    <row r="311" s="1" customFormat="1" ht="15.75" customHeight="1" spans="4:14">
      <c r="D311" s="2"/>
      <c r="K311" s="2"/>
      <c r="N311" s="11"/>
    </row>
    <row r="312" s="1" customFormat="1" ht="15.75" customHeight="1" spans="4:14">
      <c r="D312" s="2"/>
      <c r="K312" s="2"/>
      <c r="N312" s="11"/>
    </row>
    <row r="313" s="1" customFormat="1" ht="15.75" customHeight="1" spans="4:14">
      <c r="D313" s="2"/>
      <c r="K313" s="2"/>
      <c r="N313" s="11"/>
    </row>
    <row r="314" s="1" customFormat="1" ht="15.75" customHeight="1" spans="4:14">
      <c r="D314" s="2"/>
      <c r="K314" s="2"/>
      <c r="N314" s="11"/>
    </row>
    <row r="315" s="1" customFormat="1" ht="15.75" customHeight="1" spans="4:14">
      <c r="D315" s="2"/>
      <c r="K315" s="2"/>
      <c r="N315" s="11"/>
    </row>
    <row r="316" s="1" customFormat="1" ht="15.75" customHeight="1" spans="4:14">
      <c r="D316" s="2"/>
      <c r="K316" s="2"/>
      <c r="N316" s="11"/>
    </row>
    <row r="317" s="1" customFormat="1" ht="15.75" customHeight="1" spans="4:14">
      <c r="D317" s="2"/>
      <c r="K317" s="2"/>
      <c r="N317" s="11"/>
    </row>
    <row r="318" s="1" customFormat="1" ht="15.75" customHeight="1" spans="4:14">
      <c r="D318" s="2"/>
      <c r="K318" s="2"/>
      <c r="N318" s="11"/>
    </row>
    <row r="319" s="1" customFormat="1" ht="15.75" customHeight="1" spans="4:14">
      <c r="D319" s="2"/>
      <c r="K319" s="2"/>
      <c r="N319" s="11"/>
    </row>
    <row r="320" s="1" customFormat="1" ht="15.75" customHeight="1" spans="4:14">
      <c r="D320" s="2"/>
      <c r="K320" s="2"/>
      <c r="N320" s="11"/>
    </row>
    <row r="321" s="1" customFormat="1" ht="15.75" customHeight="1" spans="4:14">
      <c r="D321" s="2"/>
      <c r="K321" s="2"/>
      <c r="N321" s="11"/>
    </row>
    <row r="322" s="1" customFormat="1" ht="15.75" customHeight="1" spans="4:14">
      <c r="D322" s="2"/>
      <c r="K322" s="2"/>
      <c r="N322" s="11"/>
    </row>
    <row r="323" s="1" customFormat="1" ht="15.75" customHeight="1" spans="4:14">
      <c r="D323" s="2"/>
      <c r="K323" s="2"/>
      <c r="N323" s="11"/>
    </row>
    <row r="324" s="1" customFormat="1" ht="15.75" customHeight="1" spans="4:14">
      <c r="D324" s="2"/>
      <c r="K324" s="2"/>
      <c r="N324" s="11"/>
    </row>
    <row r="325" s="1" customFormat="1" ht="15.75" customHeight="1" spans="4:14">
      <c r="D325" s="2"/>
      <c r="K325" s="2"/>
      <c r="N325" s="11"/>
    </row>
    <row r="326" s="1" customFormat="1" ht="15.75" customHeight="1" spans="4:14">
      <c r="D326" s="2"/>
      <c r="K326" s="2"/>
      <c r="N326" s="11"/>
    </row>
    <row r="327" s="1" customFormat="1" ht="15.75" customHeight="1" spans="4:14">
      <c r="D327" s="2"/>
      <c r="K327" s="2"/>
      <c r="N327" s="11"/>
    </row>
    <row r="328" s="1" customFormat="1" ht="15.75" customHeight="1" spans="4:14">
      <c r="D328" s="2"/>
      <c r="K328" s="2"/>
      <c r="N328" s="11"/>
    </row>
    <row r="329" s="1" customFormat="1" ht="15.75" customHeight="1" spans="4:14">
      <c r="D329" s="2"/>
      <c r="K329" s="2"/>
      <c r="N329" s="11"/>
    </row>
    <row r="330" s="1" customFormat="1" ht="15.75" customHeight="1" spans="4:14">
      <c r="D330" s="2"/>
      <c r="K330" s="2"/>
      <c r="N330" s="11"/>
    </row>
    <row r="331" s="1" customFormat="1" ht="15.75" customHeight="1" spans="4:14">
      <c r="D331" s="2"/>
      <c r="K331" s="2"/>
      <c r="N331" s="11"/>
    </row>
    <row r="332" s="1" customFormat="1" ht="15.75" customHeight="1" spans="4:14">
      <c r="D332" s="2"/>
      <c r="K332" s="2"/>
      <c r="N332" s="11"/>
    </row>
    <row r="333" s="1" customFormat="1" ht="15.75" customHeight="1" spans="4:14">
      <c r="D333" s="2"/>
      <c r="K333" s="2"/>
      <c r="N333" s="11"/>
    </row>
    <row r="334" s="1" customFormat="1" ht="15.75" customHeight="1" spans="4:14">
      <c r="D334" s="2"/>
      <c r="K334" s="2"/>
      <c r="N334" s="11"/>
    </row>
    <row r="335" s="1" customFormat="1" ht="15.75" customHeight="1" spans="4:14">
      <c r="D335" s="2"/>
      <c r="K335" s="2"/>
      <c r="N335" s="11"/>
    </row>
    <row r="336" s="1" customFormat="1" ht="15.75" customHeight="1" spans="4:14">
      <c r="D336" s="2"/>
      <c r="K336" s="2"/>
      <c r="N336" s="11"/>
    </row>
    <row r="337" s="1" customFormat="1" ht="15.75" customHeight="1" spans="4:14">
      <c r="D337" s="2"/>
      <c r="K337" s="2"/>
      <c r="N337" s="11"/>
    </row>
    <row r="338" s="1" customFormat="1" ht="15.75" customHeight="1" spans="4:14">
      <c r="D338" s="2"/>
      <c r="K338" s="2"/>
      <c r="N338" s="11"/>
    </row>
    <row r="339" s="1" customFormat="1" ht="15.75" customHeight="1" spans="4:14">
      <c r="D339" s="2"/>
      <c r="K339" s="2"/>
      <c r="N339" s="11"/>
    </row>
    <row r="340" s="1" customFormat="1" ht="15.75" customHeight="1" spans="4:14">
      <c r="D340" s="2"/>
      <c r="K340" s="2"/>
      <c r="N340" s="11"/>
    </row>
    <row r="341" s="1" customFormat="1" ht="15.75" customHeight="1" spans="4:14">
      <c r="D341" s="2"/>
      <c r="K341" s="2"/>
      <c r="N341" s="11"/>
    </row>
    <row r="342" s="1" customFormat="1" ht="15.75" customHeight="1" spans="4:14">
      <c r="D342" s="2"/>
      <c r="K342" s="2"/>
      <c r="N342" s="11"/>
    </row>
    <row r="343" s="1" customFormat="1" ht="15.75" customHeight="1" spans="4:14">
      <c r="D343" s="2"/>
      <c r="K343" s="2"/>
      <c r="N343" s="11"/>
    </row>
    <row r="344" s="1" customFormat="1" ht="15.75" customHeight="1" spans="4:14">
      <c r="D344" s="2"/>
      <c r="K344" s="2"/>
      <c r="N344" s="11"/>
    </row>
    <row r="345" s="1" customFormat="1" ht="15.75" customHeight="1" spans="4:14">
      <c r="D345" s="2"/>
      <c r="K345" s="2"/>
      <c r="N345" s="11"/>
    </row>
    <row r="346" s="1" customFormat="1" ht="15.75" customHeight="1" spans="4:14">
      <c r="D346" s="2"/>
      <c r="K346" s="2"/>
      <c r="N346" s="11"/>
    </row>
    <row r="347" s="1" customFormat="1" ht="15.75" customHeight="1" spans="4:14">
      <c r="D347" s="2"/>
      <c r="K347" s="2"/>
      <c r="N347" s="11"/>
    </row>
    <row r="348" s="1" customFormat="1" ht="15.75" customHeight="1" spans="4:14">
      <c r="D348" s="2"/>
      <c r="K348" s="2"/>
      <c r="N348" s="11"/>
    </row>
    <row r="349" s="1" customFormat="1" ht="15.75" customHeight="1" spans="4:14">
      <c r="D349" s="2"/>
      <c r="K349" s="2"/>
      <c r="N349" s="11"/>
    </row>
    <row r="350" s="1" customFormat="1" ht="15.75" customHeight="1" spans="4:14">
      <c r="D350" s="2"/>
      <c r="K350" s="2"/>
      <c r="N350" s="11"/>
    </row>
    <row r="351" s="1" customFormat="1" ht="15.75" customHeight="1" spans="4:14">
      <c r="D351" s="2"/>
      <c r="K351" s="2"/>
      <c r="N351" s="11"/>
    </row>
    <row r="352" s="1" customFormat="1" ht="15.75" customHeight="1" spans="4:14">
      <c r="D352" s="2"/>
      <c r="K352" s="2"/>
      <c r="N352" s="11"/>
    </row>
    <row r="353" s="1" customFormat="1" ht="15.75" customHeight="1" spans="4:14">
      <c r="D353" s="2"/>
      <c r="K353" s="2"/>
      <c r="N353" s="11"/>
    </row>
    <row r="354" s="1" customFormat="1" ht="15.75" customHeight="1" spans="4:14">
      <c r="D354" s="2"/>
      <c r="K354" s="2"/>
      <c r="N354" s="11"/>
    </row>
    <row r="355" s="1" customFormat="1" ht="15.75" customHeight="1" spans="4:14">
      <c r="D355" s="2"/>
      <c r="K355" s="2"/>
      <c r="N355" s="11"/>
    </row>
    <row r="356" s="1" customFormat="1" ht="15.75" customHeight="1" spans="4:14">
      <c r="D356" s="2"/>
      <c r="K356" s="2"/>
      <c r="N356" s="11"/>
    </row>
    <row r="357" s="1" customFormat="1" ht="15.75" customHeight="1" spans="4:14">
      <c r="D357" s="2"/>
      <c r="K357" s="2"/>
      <c r="N357" s="11"/>
    </row>
    <row r="358" s="1" customFormat="1" ht="15.75" customHeight="1" spans="4:14">
      <c r="D358" s="2"/>
      <c r="K358" s="2"/>
      <c r="N358" s="11"/>
    </row>
    <row r="359" s="1" customFormat="1" ht="15.75" customHeight="1" spans="4:14">
      <c r="D359" s="2"/>
      <c r="K359" s="2"/>
      <c r="N359" s="11"/>
    </row>
    <row r="360" s="1" customFormat="1" ht="15.75" customHeight="1" spans="4:14">
      <c r="D360" s="2"/>
      <c r="K360" s="2"/>
      <c r="N360" s="11"/>
    </row>
    <row r="361" s="1" customFormat="1" ht="15.75" customHeight="1" spans="4:14">
      <c r="D361" s="2"/>
      <c r="K361" s="2"/>
      <c r="N361" s="11"/>
    </row>
    <row r="362" s="1" customFormat="1" ht="15.75" customHeight="1" spans="4:14">
      <c r="D362" s="2"/>
      <c r="K362" s="2"/>
      <c r="N362" s="11"/>
    </row>
    <row r="363" s="1" customFormat="1" ht="15.75" customHeight="1" spans="4:14">
      <c r="D363" s="2"/>
      <c r="K363" s="2"/>
      <c r="N363" s="11"/>
    </row>
    <row r="364" s="1" customFormat="1" ht="15.75" customHeight="1" spans="4:14">
      <c r="D364" s="2"/>
      <c r="K364" s="2"/>
      <c r="N364" s="11"/>
    </row>
    <row r="365" s="1" customFormat="1" ht="15.75" customHeight="1" spans="4:14">
      <c r="D365" s="2"/>
      <c r="K365" s="2"/>
      <c r="N365" s="11"/>
    </row>
    <row r="366" s="1" customFormat="1" ht="15.75" customHeight="1" spans="4:14">
      <c r="D366" s="2"/>
      <c r="K366" s="2"/>
      <c r="N366" s="11"/>
    </row>
    <row r="367" s="1" customFormat="1" ht="15.75" customHeight="1" spans="4:14">
      <c r="D367" s="2"/>
      <c r="K367" s="2"/>
      <c r="N367" s="11"/>
    </row>
    <row r="368" s="1" customFormat="1" ht="15.75" customHeight="1" spans="4:14">
      <c r="D368" s="2"/>
      <c r="K368" s="2"/>
      <c r="N368" s="11"/>
    </row>
    <row r="369" s="1" customFormat="1" ht="15.75" customHeight="1" spans="4:14">
      <c r="D369" s="2"/>
      <c r="K369" s="2"/>
      <c r="N369" s="11"/>
    </row>
    <row r="370" s="1" customFormat="1" ht="15.75" customHeight="1" spans="4:14">
      <c r="D370" s="2"/>
      <c r="K370" s="2"/>
      <c r="N370" s="11"/>
    </row>
    <row r="371" s="1" customFormat="1" ht="15.75" customHeight="1" spans="4:14">
      <c r="D371" s="2"/>
      <c r="K371" s="2"/>
      <c r="N371" s="11"/>
    </row>
    <row r="372" s="1" customFormat="1" ht="15.75" customHeight="1" spans="4:14">
      <c r="D372" s="2"/>
      <c r="K372" s="2"/>
      <c r="N372" s="11"/>
    </row>
    <row r="373" s="1" customFormat="1" ht="15.75" customHeight="1" spans="4:14">
      <c r="D373" s="2"/>
      <c r="K373" s="2"/>
      <c r="N373" s="11"/>
    </row>
    <row r="374" s="1" customFormat="1" ht="15.75" customHeight="1" spans="4:14">
      <c r="D374" s="2"/>
      <c r="K374" s="2"/>
      <c r="N374" s="11"/>
    </row>
    <row r="375" s="1" customFormat="1" ht="15.75" customHeight="1" spans="4:14">
      <c r="D375" s="2"/>
      <c r="K375" s="2"/>
      <c r="N375" s="11"/>
    </row>
    <row r="376" s="1" customFormat="1" ht="15.75" customHeight="1" spans="4:14">
      <c r="D376" s="2"/>
      <c r="K376" s="2"/>
      <c r="N376" s="11"/>
    </row>
    <row r="377" s="1" customFormat="1" ht="15.75" customHeight="1" spans="4:14">
      <c r="D377" s="2"/>
      <c r="K377" s="2"/>
      <c r="N377" s="11"/>
    </row>
    <row r="378" s="1" customFormat="1" ht="15.75" customHeight="1" spans="4:14">
      <c r="D378" s="2"/>
      <c r="K378" s="2"/>
      <c r="N378" s="11"/>
    </row>
    <row r="379" s="1" customFormat="1" ht="15.75" customHeight="1" spans="4:14">
      <c r="D379" s="2"/>
      <c r="K379" s="2"/>
      <c r="N379" s="11"/>
    </row>
    <row r="380" s="1" customFormat="1" ht="15.75" customHeight="1" spans="4:14">
      <c r="D380" s="2"/>
      <c r="K380" s="2"/>
      <c r="N380" s="11"/>
    </row>
    <row r="381" s="1" customFormat="1" ht="15.75" customHeight="1" spans="4:14">
      <c r="D381" s="2"/>
      <c r="K381" s="2"/>
      <c r="N381" s="11"/>
    </row>
    <row r="382" s="1" customFormat="1" ht="15.75" customHeight="1" spans="4:14">
      <c r="D382" s="2"/>
      <c r="K382" s="2"/>
      <c r="N382" s="11"/>
    </row>
    <row r="383" s="1" customFormat="1" ht="15.75" customHeight="1" spans="4:14">
      <c r="D383" s="2"/>
      <c r="K383" s="2"/>
      <c r="N383" s="11"/>
    </row>
    <row r="384" s="1" customFormat="1" ht="15.75" customHeight="1" spans="4:14">
      <c r="D384" s="2"/>
      <c r="K384" s="2"/>
      <c r="N384" s="11"/>
    </row>
    <row r="385" s="1" customFormat="1" ht="15.75" customHeight="1" spans="4:14">
      <c r="D385" s="2"/>
      <c r="K385" s="2"/>
      <c r="N385" s="11"/>
    </row>
    <row r="386" s="1" customFormat="1" ht="15.75" customHeight="1" spans="4:14">
      <c r="D386" s="2"/>
      <c r="K386" s="2"/>
      <c r="N386" s="11"/>
    </row>
    <row r="387" s="1" customFormat="1" ht="15.75" customHeight="1" spans="4:14">
      <c r="D387" s="2"/>
      <c r="K387" s="2"/>
      <c r="N387" s="11"/>
    </row>
    <row r="388" s="1" customFormat="1" ht="15.75" customHeight="1" spans="4:14">
      <c r="D388" s="2"/>
      <c r="K388" s="2"/>
      <c r="N388" s="11"/>
    </row>
    <row r="389" s="1" customFormat="1" ht="15.75" customHeight="1" spans="4:14">
      <c r="D389" s="2"/>
      <c r="K389" s="2"/>
      <c r="N389" s="11"/>
    </row>
    <row r="390" s="1" customFormat="1" ht="15.75" customHeight="1" spans="4:14">
      <c r="D390" s="2"/>
      <c r="K390" s="2"/>
      <c r="N390" s="11"/>
    </row>
    <row r="391" s="1" customFormat="1" ht="15.75" customHeight="1" spans="4:14">
      <c r="D391" s="2"/>
      <c r="K391" s="2"/>
      <c r="N391" s="11"/>
    </row>
    <row r="392" s="1" customFormat="1" ht="15.75" customHeight="1" spans="4:14">
      <c r="D392" s="2"/>
      <c r="K392" s="2"/>
      <c r="N392" s="11"/>
    </row>
    <row r="393" s="1" customFormat="1" ht="15.75" customHeight="1" spans="4:14">
      <c r="D393" s="2"/>
      <c r="K393" s="2"/>
      <c r="N393" s="11"/>
    </row>
    <row r="394" s="1" customFormat="1" ht="15.75" customHeight="1" spans="4:14">
      <c r="D394" s="2"/>
      <c r="K394" s="2"/>
      <c r="N394" s="11"/>
    </row>
    <row r="395" s="1" customFormat="1" ht="15.75" customHeight="1" spans="4:14">
      <c r="D395" s="2"/>
      <c r="K395" s="2"/>
      <c r="N395" s="11"/>
    </row>
    <row r="396" s="1" customFormat="1" ht="15.75" customHeight="1" spans="4:14">
      <c r="D396" s="2"/>
      <c r="K396" s="2"/>
      <c r="N396" s="11"/>
    </row>
    <row r="397" s="1" customFormat="1" ht="15.75" customHeight="1" spans="4:14">
      <c r="D397" s="2"/>
      <c r="K397" s="2"/>
      <c r="N397" s="11"/>
    </row>
    <row r="398" s="1" customFormat="1" ht="15.75" customHeight="1" spans="4:14">
      <c r="D398" s="2"/>
      <c r="K398" s="2"/>
      <c r="N398" s="11"/>
    </row>
    <row r="399" s="1" customFormat="1" ht="15.75" customHeight="1" spans="4:14">
      <c r="D399" s="2"/>
      <c r="K399" s="2"/>
      <c r="N399" s="11"/>
    </row>
    <row r="400" s="1" customFormat="1" ht="15.75" customHeight="1" spans="4:14">
      <c r="D400" s="2"/>
      <c r="K400" s="2"/>
      <c r="N400" s="11"/>
    </row>
    <row r="401" s="1" customFormat="1" ht="15.75" customHeight="1" spans="4:14">
      <c r="D401" s="2"/>
      <c r="K401" s="2"/>
      <c r="N401" s="11"/>
    </row>
    <row r="402" s="1" customFormat="1" ht="15.75" customHeight="1" spans="4:14">
      <c r="D402" s="2"/>
      <c r="K402" s="2"/>
      <c r="N402" s="11"/>
    </row>
    <row r="403" s="1" customFormat="1" ht="15.75" customHeight="1" spans="4:14">
      <c r="D403" s="2"/>
      <c r="K403" s="2"/>
      <c r="N403" s="11"/>
    </row>
    <row r="404" s="1" customFormat="1" ht="15.75" customHeight="1" spans="4:14">
      <c r="D404" s="2"/>
      <c r="K404" s="2"/>
      <c r="N404" s="11"/>
    </row>
    <row r="405" s="1" customFormat="1" ht="15.75" customHeight="1" spans="4:14">
      <c r="D405" s="2"/>
      <c r="K405" s="2"/>
      <c r="N405" s="11"/>
    </row>
    <row r="406" s="1" customFormat="1" ht="15.75" customHeight="1" spans="4:14">
      <c r="D406" s="2"/>
      <c r="K406" s="2"/>
      <c r="N406" s="11"/>
    </row>
    <row r="407" s="1" customFormat="1" ht="15.75" customHeight="1" spans="4:14">
      <c r="D407" s="2"/>
      <c r="K407" s="2"/>
      <c r="N407" s="11"/>
    </row>
    <row r="408" s="1" customFormat="1" ht="15.75" customHeight="1" spans="4:14">
      <c r="D408" s="2"/>
      <c r="K408" s="2"/>
      <c r="N408" s="11"/>
    </row>
    <row r="409" s="1" customFormat="1" ht="15.75" customHeight="1" spans="4:14">
      <c r="D409" s="2"/>
      <c r="K409" s="2"/>
      <c r="N409" s="11"/>
    </row>
    <row r="410" s="1" customFormat="1" ht="15.75" customHeight="1" spans="4:14">
      <c r="D410" s="2"/>
      <c r="K410" s="2"/>
      <c r="N410" s="11"/>
    </row>
    <row r="411" s="1" customFormat="1" ht="15.75" customHeight="1" spans="4:14">
      <c r="D411" s="2"/>
      <c r="K411" s="2"/>
      <c r="N411" s="11"/>
    </row>
    <row r="412" s="1" customFormat="1" ht="15.75" customHeight="1" spans="4:14">
      <c r="D412" s="2"/>
      <c r="K412" s="2"/>
      <c r="N412" s="11"/>
    </row>
    <row r="413" s="1" customFormat="1" ht="15.75" customHeight="1" spans="4:14">
      <c r="D413" s="2"/>
      <c r="K413" s="2"/>
      <c r="N413" s="11"/>
    </row>
    <row r="414" s="1" customFormat="1" ht="15.75" customHeight="1" spans="4:14">
      <c r="D414" s="2"/>
      <c r="K414" s="2"/>
      <c r="N414" s="11"/>
    </row>
    <row r="415" s="1" customFormat="1" ht="15.75" customHeight="1" spans="4:14">
      <c r="D415" s="2"/>
      <c r="K415" s="2"/>
      <c r="N415" s="11"/>
    </row>
    <row r="416" s="1" customFormat="1" ht="15.75" customHeight="1" spans="4:14">
      <c r="D416" s="2"/>
      <c r="K416" s="2"/>
      <c r="N416" s="11"/>
    </row>
    <row r="417" s="1" customFormat="1" ht="15.75" customHeight="1" spans="4:14">
      <c r="D417" s="2"/>
      <c r="K417" s="2"/>
      <c r="N417" s="11"/>
    </row>
    <row r="418" s="1" customFormat="1" ht="15.75" customHeight="1" spans="4:14">
      <c r="D418" s="2"/>
      <c r="K418" s="2"/>
      <c r="N418" s="11"/>
    </row>
    <row r="419" s="1" customFormat="1" ht="15.75" customHeight="1" spans="4:14">
      <c r="D419" s="2"/>
      <c r="K419" s="2"/>
      <c r="N419" s="11"/>
    </row>
    <row r="420" s="1" customFormat="1" ht="15.75" customHeight="1" spans="4:14">
      <c r="D420" s="2"/>
      <c r="K420" s="2"/>
      <c r="N420" s="11"/>
    </row>
    <row r="421" s="1" customFormat="1" ht="15.75" customHeight="1" spans="4:14">
      <c r="D421" s="2"/>
      <c r="K421" s="2"/>
      <c r="N421" s="11"/>
    </row>
    <row r="422" s="1" customFormat="1" ht="15.75" customHeight="1" spans="4:14">
      <c r="D422" s="2"/>
      <c r="K422" s="2"/>
      <c r="N422" s="11"/>
    </row>
    <row r="423" s="1" customFormat="1" ht="15.75" customHeight="1" spans="4:14">
      <c r="D423" s="2"/>
      <c r="K423" s="2"/>
      <c r="N423" s="11"/>
    </row>
    <row r="424" s="1" customFormat="1" ht="15.75" customHeight="1" spans="4:14">
      <c r="D424" s="2"/>
      <c r="K424" s="2"/>
      <c r="N424" s="11"/>
    </row>
    <row r="425" s="1" customFormat="1" ht="15.75" customHeight="1" spans="4:14">
      <c r="D425" s="2"/>
      <c r="K425" s="2"/>
      <c r="N425" s="11"/>
    </row>
    <row r="426" s="1" customFormat="1" ht="15.75" customHeight="1" spans="4:14">
      <c r="D426" s="2"/>
      <c r="K426" s="2"/>
      <c r="N426" s="11"/>
    </row>
    <row r="427" s="1" customFormat="1" ht="15.75" customHeight="1" spans="4:14">
      <c r="D427" s="2"/>
      <c r="K427" s="2"/>
      <c r="N427" s="11"/>
    </row>
    <row r="428" s="1" customFormat="1" ht="15.75" customHeight="1" spans="4:14">
      <c r="D428" s="2"/>
      <c r="K428" s="2"/>
      <c r="N428" s="11"/>
    </row>
    <row r="429" s="1" customFormat="1" ht="15.75" customHeight="1" spans="4:14">
      <c r="D429" s="2"/>
      <c r="K429" s="2"/>
      <c r="N429" s="11"/>
    </row>
    <row r="430" s="1" customFormat="1" ht="15.75" customHeight="1" spans="4:14">
      <c r="D430" s="2"/>
      <c r="K430" s="2"/>
      <c r="N430" s="11"/>
    </row>
    <row r="431" s="1" customFormat="1" ht="15.75" customHeight="1" spans="4:14">
      <c r="D431" s="2"/>
      <c r="K431" s="2"/>
      <c r="N431" s="11"/>
    </row>
    <row r="432" s="1" customFormat="1" ht="15.75" customHeight="1" spans="4:14">
      <c r="D432" s="2"/>
      <c r="K432" s="2"/>
      <c r="N432" s="11"/>
    </row>
    <row r="433" s="1" customFormat="1" ht="15.75" customHeight="1" spans="4:14">
      <c r="D433" s="2"/>
      <c r="K433" s="2"/>
      <c r="N433" s="11"/>
    </row>
    <row r="434" s="1" customFormat="1" ht="15.75" customHeight="1" spans="4:14">
      <c r="D434" s="2"/>
      <c r="K434" s="2"/>
      <c r="N434" s="11"/>
    </row>
    <row r="435" s="1" customFormat="1" ht="15.75" customHeight="1" spans="4:14">
      <c r="D435" s="2"/>
      <c r="K435" s="2"/>
      <c r="N435" s="11"/>
    </row>
    <row r="436" s="1" customFormat="1" ht="15.75" customHeight="1" spans="4:14">
      <c r="D436" s="2"/>
      <c r="K436" s="2"/>
      <c r="N436" s="11"/>
    </row>
    <row r="437" s="1" customFormat="1" ht="15.75" customHeight="1" spans="4:14">
      <c r="D437" s="2"/>
      <c r="K437" s="2"/>
      <c r="N437" s="11"/>
    </row>
    <row r="438" s="1" customFormat="1" ht="15.75" customHeight="1" spans="4:14">
      <c r="D438" s="2"/>
      <c r="K438" s="2"/>
      <c r="N438" s="11"/>
    </row>
    <row r="439" s="1" customFormat="1" ht="15.75" customHeight="1" spans="4:14">
      <c r="D439" s="2"/>
      <c r="K439" s="2"/>
      <c r="N439" s="11"/>
    </row>
    <row r="440" s="1" customFormat="1" ht="15.75" customHeight="1" spans="4:14">
      <c r="D440" s="2"/>
      <c r="K440" s="2"/>
      <c r="N440" s="11"/>
    </row>
    <row r="441" s="1" customFormat="1" ht="15.75" customHeight="1" spans="4:14">
      <c r="D441" s="2"/>
      <c r="K441" s="2"/>
      <c r="N441" s="11"/>
    </row>
    <row r="442" s="1" customFormat="1" ht="15.75" customHeight="1" spans="4:14">
      <c r="D442" s="2"/>
      <c r="K442" s="2"/>
      <c r="N442" s="11"/>
    </row>
    <row r="443" s="1" customFormat="1" ht="15.75" customHeight="1" spans="4:14">
      <c r="D443" s="2"/>
      <c r="K443" s="2"/>
      <c r="N443" s="11"/>
    </row>
    <row r="444" s="1" customFormat="1" ht="15.75" customHeight="1" spans="4:14">
      <c r="D444" s="2"/>
      <c r="K444" s="2"/>
      <c r="N444" s="11"/>
    </row>
    <row r="445" s="1" customFormat="1" ht="15.75" customHeight="1" spans="4:14">
      <c r="D445" s="2"/>
      <c r="K445" s="2"/>
      <c r="N445" s="11"/>
    </row>
    <row r="446" s="1" customFormat="1" ht="15.75" customHeight="1" spans="4:14">
      <c r="D446" s="2"/>
      <c r="K446" s="2"/>
      <c r="N446" s="11"/>
    </row>
    <row r="447" s="1" customFormat="1" ht="15.75" customHeight="1" spans="4:14">
      <c r="D447" s="2"/>
      <c r="K447" s="2"/>
      <c r="N447" s="11"/>
    </row>
    <row r="448" s="1" customFormat="1" ht="15.75" customHeight="1" spans="4:14">
      <c r="D448" s="2"/>
      <c r="K448" s="2"/>
      <c r="N448" s="11"/>
    </row>
    <row r="449" s="1" customFormat="1" ht="15.75" customHeight="1" spans="4:14">
      <c r="D449" s="2"/>
      <c r="K449" s="2"/>
      <c r="N449" s="11"/>
    </row>
    <row r="450" s="1" customFormat="1" ht="15.75" customHeight="1" spans="4:14">
      <c r="D450" s="2"/>
      <c r="K450" s="2"/>
      <c r="N450" s="11"/>
    </row>
    <row r="451" s="1" customFormat="1" ht="15.75" customHeight="1" spans="4:14">
      <c r="D451" s="2"/>
      <c r="K451" s="2"/>
      <c r="N451" s="11"/>
    </row>
    <row r="452" s="1" customFormat="1" ht="15.75" customHeight="1" spans="4:14">
      <c r="D452" s="2"/>
      <c r="K452" s="2"/>
      <c r="N452" s="11"/>
    </row>
    <row r="453" s="1" customFormat="1" ht="15.75" customHeight="1" spans="4:14">
      <c r="D453" s="2"/>
      <c r="K453" s="2"/>
      <c r="N453" s="11"/>
    </row>
    <row r="454" s="1" customFormat="1" ht="15.75" customHeight="1" spans="4:14">
      <c r="D454" s="2"/>
      <c r="K454" s="2"/>
      <c r="N454" s="11"/>
    </row>
    <row r="455" s="1" customFormat="1" ht="15.75" customHeight="1" spans="4:14">
      <c r="D455" s="2"/>
      <c r="K455" s="2"/>
      <c r="N455" s="11"/>
    </row>
    <row r="456" s="1" customFormat="1" ht="15.75" customHeight="1" spans="4:14">
      <c r="D456" s="2"/>
      <c r="K456" s="2"/>
      <c r="N456" s="11"/>
    </row>
    <row r="457" s="1" customFormat="1" ht="15.75" customHeight="1" spans="4:14">
      <c r="D457" s="2"/>
      <c r="K457" s="2"/>
      <c r="N457" s="11"/>
    </row>
    <row r="458" s="1" customFormat="1" ht="15.75" customHeight="1" spans="4:14">
      <c r="D458" s="2"/>
      <c r="K458" s="2"/>
      <c r="N458" s="11"/>
    </row>
    <row r="459" s="1" customFormat="1" ht="15.75" customHeight="1" spans="4:14">
      <c r="D459" s="2"/>
      <c r="K459" s="2"/>
      <c r="N459" s="11"/>
    </row>
    <row r="460" s="1" customFormat="1" ht="15.75" customHeight="1" spans="4:14">
      <c r="D460" s="2"/>
      <c r="K460" s="2"/>
      <c r="N460" s="11"/>
    </row>
    <row r="461" s="1" customFormat="1" ht="15.75" customHeight="1" spans="4:14">
      <c r="D461" s="2"/>
      <c r="K461" s="2"/>
      <c r="N461" s="11"/>
    </row>
    <row r="462" s="1" customFormat="1" ht="15.75" customHeight="1" spans="4:14">
      <c r="D462" s="2"/>
      <c r="K462" s="2"/>
      <c r="N462" s="11"/>
    </row>
    <row r="463" s="1" customFormat="1" ht="15.75" customHeight="1" spans="4:14">
      <c r="D463" s="2"/>
      <c r="K463" s="2"/>
      <c r="N463" s="11"/>
    </row>
    <row r="464" s="1" customFormat="1" ht="15.75" customHeight="1" spans="4:14">
      <c r="D464" s="2"/>
      <c r="K464" s="2"/>
      <c r="N464" s="11"/>
    </row>
    <row r="465" s="1" customFormat="1" ht="15.75" customHeight="1" spans="4:14">
      <c r="D465" s="2"/>
      <c r="K465" s="2"/>
      <c r="N465" s="11"/>
    </row>
    <row r="466" s="1" customFormat="1" ht="15.75" customHeight="1" spans="4:14">
      <c r="D466" s="2"/>
      <c r="K466" s="2"/>
      <c r="N466" s="11"/>
    </row>
    <row r="467" s="1" customFormat="1" ht="15.75" customHeight="1" spans="4:14">
      <c r="D467" s="2"/>
      <c r="K467" s="2"/>
      <c r="N467" s="11"/>
    </row>
    <row r="468" s="1" customFormat="1" ht="15.75" customHeight="1" spans="4:14">
      <c r="D468" s="2"/>
      <c r="K468" s="2"/>
      <c r="N468" s="11"/>
    </row>
    <row r="469" s="1" customFormat="1" ht="15.75" customHeight="1" spans="4:14">
      <c r="D469" s="2"/>
      <c r="K469" s="2"/>
      <c r="N469" s="11"/>
    </row>
    <row r="470" s="1" customFormat="1" ht="15.75" customHeight="1" spans="4:14">
      <c r="D470" s="2"/>
      <c r="K470" s="2"/>
      <c r="N470" s="11"/>
    </row>
    <row r="471" s="1" customFormat="1" ht="15.75" customHeight="1" spans="4:14">
      <c r="D471" s="2"/>
      <c r="K471" s="2"/>
      <c r="N471" s="11"/>
    </row>
    <row r="472" s="1" customFormat="1" ht="15.75" customHeight="1" spans="4:14">
      <c r="D472" s="2"/>
      <c r="K472" s="2"/>
      <c r="N472" s="11"/>
    </row>
    <row r="473" s="1" customFormat="1" ht="15.75" customHeight="1" spans="4:14">
      <c r="D473" s="2"/>
      <c r="K473" s="2"/>
      <c r="N473" s="11"/>
    </row>
    <row r="474" s="1" customFormat="1" ht="15.75" customHeight="1" spans="4:14">
      <c r="D474" s="2"/>
      <c r="K474" s="2"/>
      <c r="N474" s="11"/>
    </row>
    <row r="475" s="1" customFormat="1" ht="15.75" customHeight="1" spans="4:14">
      <c r="D475" s="2"/>
      <c r="K475" s="2"/>
      <c r="N475" s="11"/>
    </row>
    <row r="476" s="1" customFormat="1" ht="15.75" customHeight="1" spans="4:14">
      <c r="D476" s="2"/>
      <c r="K476" s="2"/>
      <c r="N476" s="11"/>
    </row>
    <row r="477" s="1" customFormat="1" ht="15.75" customHeight="1" spans="4:14">
      <c r="D477" s="2"/>
      <c r="K477" s="2"/>
      <c r="N477" s="11"/>
    </row>
    <row r="478" s="1" customFormat="1" ht="15.75" customHeight="1" spans="4:14">
      <c r="D478" s="2"/>
      <c r="K478" s="2"/>
      <c r="N478" s="11"/>
    </row>
    <row r="479" s="1" customFormat="1" ht="15.75" customHeight="1" spans="4:14">
      <c r="D479" s="2"/>
      <c r="K479" s="2"/>
      <c r="N479" s="11"/>
    </row>
    <row r="480" s="1" customFormat="1" ht="15.75" customHeight="1" spans="4:14">
      <c r="D480" s="2"/>
      <c r="K480" s="2"/>
      <c r="N480" s="11"/>
    </row>
    <row r="481" s="1" customFormat="1" ht="15.75" customHeight="1" spans="4:14">
      <c r="D481" s="2"/>
      <c r="K481" s="2"/>
      <c r="N481" s="11"/>
    </row>
    <row r="482" s="1" customFormat="1" ht="15.75" customHeight="1" spans="4:14">
      <c r="D482" s="2"/>
      <c r="K482" s="2"/>
      <c r="N482" s="11"/>
    </row>
    <row r="483" s="1" customFormat="1" ht="15.75" customHeight="1" spans="4:14">
      <c r="D483" s="2"/>
      <c r="K483" s="2"/>
      <c r="N483" s="11"/>
    </row>
    <row r="484" s="1" customFormat="1" ht="15.75" customHeight="1" spans="4:14">
      <c r="D484" s="2"/>
      <c r="K484" s="2"/>
      <c r="N484" s="11"/>
    </row>
    <row r="485" s="1" customFormat="1" ht="15.75" customHeight="1" spans="4:14">
      <c r="D485" s="2"/>
      <c r="K485" s="2"/>
      <c r="N485" s="11"/>
    </row>
    <row r="486" s="1" customFormat="1" ht="15.75" customHeight="1" spans="4:14">
      <c r="D486" s="2"/>
      <c r="K486" s="2"/>
      <c r="N486" s="11"/>
    </row>
    <row r="487" s="1" customFormat="1" ht="15.75" customHeight="1" spans="4:14">
      <c r="D487" s="2"/>
      <c r="K487" s="2"/>
      <c r="N487" s="11"/>
    </row>
    <row r="488" s="1" customFormat="1" ht="15.75" customHeight="1" spans="4:14">
      <c r="D488" s="2"/>
      <c r="K488" s="2"/>
      <c r="N488" s="11"/>
    </row>
    <row r="489" s="1" customFormat="1" ht="15.75" customHeight="1" spans="4:14">
      <c r="D489" s="2"/>
      <c r="K489" s="2"/>
      <c r="N489" s="11"/>
    </row>
    <row r="490" s="1" customFormat="1" ht="15.75" customHeight="1" spans="4:14">
      <c r="D490" s="2"/>
      <c r="K490" s="2"/>
      <c r="N490" s="11"/>
    </row>
    <row r="491" s="1" customFormat="1" ht="15.75" customHeight="1" spans="4:14">
      <c r="D491" s="2"/>
      <c r="K491" s="2"/>
      <c r="N491" s="11"/>
    </row>
    <row r="492" s="1" customFormat="1" ht="15.75" customHeight="1" spans="4:14">
      <c r="D492" s="2"/>
      <c r="K492" s="2"/>
      <c r="N492" s="11"/>
    </row>
    <row r="493" s="1" customFormat="1" ht="15.75" customHeight="1" spans="4:14">
      <c r="D493" s="2"/>
      <c r="K493" s="2"/>
      <c r="N493" s="11"/>
    </row>
    <row r="494" s="1" customFormat="1" ht="15.75" customHeight="1" spans="4:14">
      <c r="D494" s="2"/>
      <c r="K494" s="2"/>
      <c r="N494" s="11"/>
    </row>
    <row r="495" s="1" customFormat="1" ht="15.75" customHeight="1" spans="4:14">
      <c r="D495" s="2"/>
      <c r="K495" s="2"/>
      <c r="N495" s="11"/>
    </row>
    <row r="496" s="1" customFormat="1" ht="15.75" customHeight="1" spans="4:14">
      <c r="D496" s="2"/>
      <c r="K496" s="2"/>
      <c r="N496" s="11"/>
    </row>
    <row r="497" s="1" customFormat="1" ht="15.75" customHeight="1" spans="4:14">
      <c r="D497" s="2"/>
      <c r="K497" s="2"/>
      <c r="N497" s="11"/>
    </row>
    <row r="498" s="1" customFormat="1" ht="15.75" customHeight="1" spans="4:14">
      <c r="D498" s="2"/>
      <c r="K498" s="2"/>
      <c r="N498" s="11"/>
    </row>
    <row r="499" s="1" customFormat="1" ht="15.75" customHeight="1" spans="4:14">
      <c r="D499" s="2"/>
      <c r="K499" s="2"/>
      <c r="N499" s="11"/>
    </row>
    <row r="500" s="1" customFormat="1" ht="15.75" customHeight="1" spans="4:14">
      <c r="D500" s="2"/>
      <c r="K500" s="2"/>
      <c r="N500" s="11"/>
    </row>
    <row r="501" s="1" customFormat="1" ht="15.75" customHeight="1" spans="4:14">
      <c r="D501" s="2"/>
      <c r="K501" s="2"/>
      <c r="N501" s="11"/>
    </row>
    <row r="502" s="1" customFormat="1" ht="15.75" customHeight="1" spans="4:14">
      <c r="D502" s="2"/>
      <c r="K502" s="2"/>
      <c r="N502" s="11"/>
    </row>
    <row r="503" s="1" customFormat="1" ht="15.75" customHeight="1" spans="4:14">
      <c r="D503" s="2"/>
      <c r="K503" s="2"/>
      <c r="N503" s="11"/>
    </row>
    <row r="504" s="1" customFormat="1" ht="15.75" customHeight="1" spans="4:14">
      <c r="D504" s="2"/>
      <c r="K504" s="2"/>
      <c r="N504" s="11"/>
    </row>
    <row r="505" s="1" customFormat="1" ht="15.75" customHeight="1" spans="4:14">
      <c r="D505" s="2"/>
      <c r="K505" s="2"/>
      <c r="N505" s="11"/>
    </row>
    <row r="506" s="1" customFormat="1" ht="15.75" customHeight="1" spans="4:14">
      <c r="D506" s="2"/>
      <c r="K506" s="2"/>
      <c r="N506" s="11"/>
    </row>
    <row r="507" s="1" customFormat="1" ht="15.75" customHeight="1" spans="4:14">
      <c r="D507" s="2"/>
      <c r="K507" s="2"/>
      <c r="N507" s="11"/>
    </row>
    <row r="508" s="1" customFormat="1" ht="15.75" customHeight="1" spans="4:14">
      <c r="D508" s="2"/>
      <c r="K508" s="2"/>
      <c r="N508" s="11"/>
    </row>
    <row r="509" s="1" customFormat="1" ht="15.75" customHeight="1" spans="4:14">
      <c r="D509" s="2"/>
      <c r="K509" s="2"/>
      <c r="N509" s="11"/>
    </row>
    <row r="510" s="1" customFormat="1" ht="15.75" customHeight="1" spans="4:14">
      <c r="D510" s="2"/>
      <c r="K510" s="2"/>
      <c r="N510" s="11"/>
    </row>
    <row r="511" s="1" customFormat="1" ht="15.75" customHeight="1" spans="4:14">
      <c r="D511" s="2"/>
      <c r="K511" s="2"/>
      <c r="N511" s="11"/>
    </row>
    <row r="512" s="1" customFormat="1" ht="15.75" customHeight="1" spans="4:14">
      <c r="D512" s="2"/>
      <c r="K512" s="2"/>
      <c r="N512" s="11"/>
    </row>
    <row r="513" s="1" customFormat="1" ht="15.75" customHeight="1" spans="4:14">
      <c r="D513" s="2"/>
      <c r="K513" s="2"/>
      <c r="N513" s="11"/>
    </row>
    <row r="514" s="1" customFormat="1" ht="15.75" customHeight="1" spans="4:14">
      <c r="D514" s="2"/>
      <c r="K514" s="2"/>
      <c r="N514" s="11"/>
    </row>
    <row r="515" s="1" customFormat="1" ht="15.75" customHeight="1" spans="4:14">
      <c r="D515" s="2"/>
      <c r="K515" s="2"/>
      <c r="N515" s="11"/>
    </row>
    <row r="516" s="1" customFormat="1" ht="15.75" customHeight="1" spans="4:14">
      <c r="D516" s="2"/>
      <c r="K516" s="2"/>
      <c r="N516" s="11"/>
    </row>
    <row r="517" s="1" customFormat="1" ht="15.75" customHeight="1" spans="4:14">
      <c r="D517" s="2"/>
      <c r="K517" s="2"/>
      <c r="N517" s="11"/>
    </row>
    <row r="518" s="1" customFormat="1" ht="15.75" customHeight="1" spans="4:14">
      <c r="D518" s="2"/>
      <c r="K518" s="2"/>
      <c r="N518" s="11"/>
    </row>
    <row r="519" s="1" customFormat="1" ht="15.75" customHeight="1" spans="4:14">
      <c r="D519" s="2"/>
      <c r="K519" s="2"/>
      <c r="N519" s="11"/>
    </row>
    <row r="520" s="1" customFormat="1" ht="15.75" customHeight="1" spans="4:14">
      <c r="D520" s="2"/>
      <c r="K520" s="2"/>
      <c r="N520" s="11"/>
    </row>
    <row r="521" s="1" customFormat="1" ht="15.75" customHeight="1" spans="4:14">
      <c r="D521" s="2"/>
      <c r="K521" s="2"/>
      <c r="N521" s="11"/>
    </row>
    <row r="522" s="1" customFormat="1" ht="15.75" customHeight="1" spans="4:14">
      <c r="D522" s="2"/>
      <c r="K522" s="2"/>
      <c r="N522" s="11"/>
    </row>
    <row r="523" s="1" customFormat="1" ht="15.75" customHeight="1" spans="4:14">
      <c r="D523" s="2"/>
      <c r="K523" s="2"/>
      <c r="N523" s="11"/>
    </row>
    <row r="524" s="1" customFormat="1" ht="15.75" customHeight="1" spans="4:14">
      <c r="D524" s="2"/>
      <c r="K524" s="2"/>
      <c r="N524" s="11"/>
    </row>
    <row r="525" s="1" customFormat="1" ht="15.75" customHeight="1" spans="4:14">
      <c r="D525" s="2"/>
      <c r="K525" s="2"/>
      <c r="N525" s="11"/>
    </row>
    <row r="526" s="1" customFormat="1" ht="15.75" customHeight="1" spans="4:14">
      <c r="D526" s="2"/>
      <c r="K526" s="2"/>
      <c r="N526" s="11"/>
    </row>
    <row r="527" s="1" customFormat="1" ht="15.75" customHeight="1" spans="4:14">
      <c r="D527" s="2"/>
      <c r="K527" s="2"/>
      <c r="N527" s="11"/>
    </row>
    <row r="528" s="1" customFormat="1" ht="15.75" customHeight="1" spans="4:14">
      <c r="D528" s="2"/>
      <c r="K528" s="2"/>
      <c r="N528" s="11"/>
    </row>
    <row r="529" s="1" customFormat="1" ht="15.75" customHeight="1" spans="4:14">
      <c r="D529" s="2"/>
      <c r="K529" s="2"/>
      <c r="N529" s="11"/>
    </row>
    <row r="530" s="1" customFormat="1" ht="15.75" customHeight="1" spans="4:14">
      <c r="D530" s="2"/>
      <c r="K530" s="2"/>
      <c r="N530" s="11"/>
    </row>
    <row r="531" s="1" customFormat="1" ht="15.75" customHeight="1" spans="4:14">
      <c r="D531" s="2"/>
      <c r="K531" s="2"/>
      <c r="N531" s="11"/>
    </row>
    <row r="532" s="1" customFormat="1" ht="15.75" customHeight="1" spans="4:14">
      <c r="D532" s="2"/>
      <c r="K532" s="2"/>
      <c r="N532" s="11"/>
    </row>
    <row r="533" s="1" customFormat="1" ht="15.75" customHeight="1" spans="4:14">
      <c r="D533" s="2"/>
      <c r="K533" s="2"/>
      <c r="N533" s="11"/>
    </row>
    <row r="534" s="1" customFormat="1" ht="15.75" customHeight="1" spans="4:14">
      <c r="D534" s="2"/>
      <c r="K534" s="2"/>
      <c r="N534" s="11"/>
    </row>
    <row r="535" s="1" customFormat="1" ht="15.75" customHeight="1" spans="4:14">
      <c r="D535" s="2"/>
      <c r="K535" s="2"/>
      <c r="N535" s="11"/>
    </row>
    <row r="536" s="1" customFormat="1" ht="15.75" customHeight="1" spans="4:14">
      <c r="D536" s="2"/>
      <c r="K536" s="2"/>
      <c r="N536" s="11"/>
    </row>
    <row r="537" s="1" customFormat="1" ht="15.75" customHeight="1" spans="4:14">
      <c r="D537" s="2"/>
      <c r="K537" s="2"/>
      <c r="N537" s="11"/>
    </row>
    <row r="538" s="1" customFormat="1" ht="15.75" customHeight="1" spans="4:14">
      <c r="D538" s="2"/>
      <c r="K538" s="2"/>
      <c r="N538" s="11"/>
    </row>
    <row r="539" s="1" customFormat="1" ht="15.75" customHeight="1" spans="4:14">
      <c r="D539" s="2"/>
      <c r="K539" s="2"/>
      <c r="N539" s="11"/>
    </row>
    <row r="540" s="1" customFormat="1" ht="15.75" customHeight="1" spans="4:14">
      <c r="D540" s="2"/>
      <c r="K540" s="2"/>
      <c r="N540" s="11"/>
    </row>
    <row r="541" s="1" customFormat="1" ht="15.75" customHeight="1" spans="4:14">
      <c r="D541" s="2"/>
      <c r="K541" s="2"/>
      <c r="N541" s="11"/>
    </row>
    <row r="542" s="1" customFormat="1" ht="15.75" customHeight="1" spans="4:14">
      <c r="D542" s="2"/>
      <c r="K542" s="2"/>
      <c r="N542" s="11"/>
    </row>
    <row r="543" s="1" customFormat="1" ht="15.75" customHeight="1" spans="4:14">
      <c r="D543" s="2"/>
      <c r="K543" s="2"/>
      <c r="N543" s="11"/>
    </row>
    <row r="544" s="1" customFormat="1" ht="15.75" customHeight="1" spans="4:14">
      <c r="D544" s="2"/>
      <c r="K544" s="2"/>
      <c r="N544" s="11"/>
    </row>
    <row r="545" s="1" customFormat="1" ht="15.75" customHeight="1" spans="4:14">
      <c r="D545" s="2"/>
      <c r="K545" s="2"/>
      <c r="N545" s="11"/>
    </row>
    <row r="546" s="1" customFormat="1" ht="15.75" customHeight="1" spans="4:14">
      <c r="D546" s="2"/>
      <c r="K546" s="2"/>
      <c r="N546" s="11"/>
    </row>
    <row r="547" s="1" customFormat="1" ht="15.75" customHeight="1" spans="4:14">
      <c r="D547" s="2"/>
      <c r="K547" s="2"/>
      <c r="N547" s="11"/>
    </row>
    <row r="548" s="1" customFormat="1" ht="15.75" customHeight="1" spans="4:14">
      <c r="D548" s="2"/>
      <c r="K548" s="2"/>
      <c r="N548" s="11"/>
    </row>
    <row r="549" s="1" customFormat="1" ht="15.75" customHeight="1" spans="4:14">
      <c r="D549" s="2"/>
      <c r="K549" s="2"/>
      <c r="N549" s="11"/>
    </row>
    <row r="550" s="1" customFormat="1" ht="15.75" customHeight="1" spans="4:14">
      <c r="D550" s="2"/>
      <c r="K550" s="2"/>
      <c r="N550" s="11"/>
    </row>
    <row r="551" s="1" customFormat="1" ht="15.75" customHeight="1" spans="4:14">
      <c r="D551" s="2"/>
      <c r="K551" s="2"/>
      <c r="N551" s="11"/>
    </row>
    <row r="552" s="1" customFormat="1" ht="15.75" customHeight="1" spans="4:14">
      <c r="D552" s="2"/>
      <c r="K552" s="2"/>
      <c r="N552" s="11"/>
    </row>
    <row r="553" s="1" customFormat="1" ht="15.75" customHeight="1" spans="4:14">
      <c r="D553" s="2"/>
      <c r="K553" s="2"/>
      <c r="N553" s="11"/>
    </row>
    <row r="554" s="1" customFormat="1" ht="15.75" customHeight="1" spans="4:14">
      <c r="D554" s="2"/>
      <c r="K554" s="2"/>
      <c r="N554" s="11"/>
    </row>
    <row r="555" s="1" customFormat="1" ht="15.75" customHeight="1" spans="4:14">
      <c r="D555" s="2"/>
      <c r="K555" s="2"/>
      <c r="N555" s="11"/>
    </row>
    <row r="556" s="1" customFormat="1" ht="15.75" customHeight="1" spans="4:14">
      <c r="D556" s="2"/>
      <c r="K556" s="2"/>
      <c r="N556" s="11"/>
    </row>
    <row r="557" s="1" customFormat="1" ht="15.75" customHeight="1" spans="4:14">
      <c r="D557" s="2"/>
      <c r="K557" s="2"/>
      <c r="N557" s="11"/>
    </row>
    <row r="558" s="1" customFormat="1" ht="15.75" customHeight="1" spans="4:14">
      <c r="D558" s="2"/>
      <c r="K558" s="2"/>
      <c r="N558" s="11"/>
    </row>
    <row r="559" s="1" customFormat="1" ht="15.75" customHeight="1" spans="4:14">
      <c r="D559" s="2"/>
      <c r="K559" s="2"/>
      <c r="N559" s="11"/>
    </row>
    <row r="560" s="1" customFormat="1" ht="15.75" customHeight="1" spans="4:14">
      <c r="D560" s="2"/>
      <c r="K560" s="2"/>
      <c r="N560" s="11"/>
    </row>
    <row r="561" s="1" customFormat="1" ht="15.75" customHeight="1" spans="4:14">
      <c r="D561" s="2"/>
      <c r="K561" s="2"/>
      <c r="N561" s="11"/>
    </row>
    <row r="562" s="1" customFormat="1" ht="15.75" customHeight="1" spans="4:14">
      <c r="D562" s="2"/>
      <c r="K562" s="2"/>
      <c r="N562" s="11"/>
    </row>
    <row r="563" s="1" customFormat="1" ht="15.75" customHeight="1" spans="4:14">
      <c r="D563" s="2"/>
      <c r="K563" s="2"/>
      <c r="N563" s="11"/>
    </row>
    <row r="564" s="1" customFormat="1" ht="15.75" customHeight="1" spans="4:14">
      <c r="D564" s="2"/>
      <c r="K564" s="2"/>
      <c r="N564" s="11"/>
    </row>
    <row r="565" s="1" customFormat="1" ht="15.75" customHeight="1" spans="4:14">
      <c r="D565" s="2"/>
      <c r="K565" s="2"/>
      <c r="N565" s="11"/>
    </row>
    <row r="566" s="1" customFormat="1" ht="15.75" customHeight="1" spans="4:14">
      <c r="D566" s="2"/>
      <c r="K566" s="2"/>
      <c r="N566" s="11"/>
    </row>
    <row r="567" s="1" customFormat="1" ht="15.75" customHeight="1" spans="4:14">
      <c r="D567" s="2"/>
      <c r="K567" s="2"/>
      <c r="N567" s="11"/>
    </row>
    <row r="568" s="1" customFormat="1" ht="15.75" customHeight="1" spans="4:14">
      <c r="D568" s="2"/>
      <c r="K568" s="2"/>
      <c r="N568" s="11"/>
    </row>
    <row r="569" s="1" customFormat="1" ht="15.75" customHeight="1" spans="4:14">
      <c r="D569" s="2"/>
      <c r="K569" s="2"/>
      <c r="N569" s="11"/>
    </row>
    <row r="570" s="1" customFormat="1" ht="15.75" customHeight="1" spans="4:14">
      <c r="D570" s="2"/>
      <c r="K570" s="2"/>
      <c r="N570" s="11"/>
    </row>
    <row r="571" s="1" customFormat="1" ht="15.75" customHeight="1" spans="4:14">
      <c r="D571" s="2"/>
      <c r="K571" s="2"/>
      <c r="N571" s="11"/>
    </row>
    <row r="572" s="1" customFormat="1" ht="15.75" customHeight="1" spans="4:14">
      <c r="D572" s="2"/>
      <c r="K572" s="2"/>
      <c r="N572" s="11"/>
    </row>
    <row r="573" s="1" customFormat="1" ht="15.75" customHeight="1" spans="4:14">
      <c r="D573" s="2"/>
      <c r="K573" s="2"/>
      <c r="N573" s="11"/>
    </row>
    <row r="574" s="1" customFormat="1" ht="15.75" customHeight="1" spans="4:14">
      <c r="D574" s="2"/>
      <c r="K574" s="2"/>
      <c r="N574" s="11"/>
    </row>
    <row r="575" s="1" customFormat="1" ht="15.75" customHeight="1" spans="4:14">
      <c r="D575" s="2"/>
      <c r="K575" s="2"/>
      <c r="N575" s="11"/>
    </row>
    <row r="576" s="1" customFormat="1" ht="15.75" customHeight="1" spans="4:14">
      <c r="D576" s="2"/>
      <c r="K576" s="2"/>
      <c r="N576" s="11"/>
    </row>
    <row r="577" s="1" customFormat="1" ht="15.75" customHeight="1" spans="4:14">
      <c r="D577" s="2"/>
      <c r="K577" s="2"/>
      <c r="N577" s="11"/>
    </row>
    <row r="578" s="1" customFormat="1" ht="15.75" customHeight="1" spans="4:14">
      <c r="D578" s="2"/>
      <c r="K578" s="2"/>
      <c r="N578" s="11"/>
    </row>
    <row r="579" s="1" customFormat="1" ht="15.75" customHeight="1" spans="4:14">
      <c r="D579" s="2"/>
      <c r="K579" s="2"/>
      <c r="N579" s="11"/>
    </row>
    <row r="580" s="1" customFormat="1" ht="15.75" customHeight="1" spans="4:14">
      <c r="D580" s="2"/>
      <c r="K580" s="2"/>
      <c r="N580" s="11"/>
    </row>
    <row r="581" s="1" customFormat="1" ht="15.75" customHeight="1" spans="4:14">
      <c r="D581" s="2"/>
      <c r="K581" s="2"/>
      <c r="N581" s="11"/>
    </row>
    <row r="582" s="1" customFormat="1" ht="15.75" customHeight="1" spans="4:14">
      <c r="D582" s="2"/>
      <c r="K582" s="2"/>
      <c r="N582" s="11"/>
    </row>
    <row r="583" s="1" customFormat="1" ht="15.75" customHeight="1" spans="4:14">
      <c r="D583" s="2"/>
      <c r="K583" s="2"/>
      <c r="N583" s="11"/>
    </row>
    <row r="584" s="1" customFormat="1" ht="15.75" customHeight="1" spans="4:14">
      <c r="D584" s="2"/>
      <c r="K584" s="2"/>
      <c r="N584" s="11"/>
    </row>
    <row r="585" s="1" customFormat="1" ht="15.75" customHeight="1" spans="4:14">
      <c r="D585" s="2"/>
      <c r="K585" s="2"/>
      <c r="N585" s="11"/>
    </row>
    <row r="586" s="1" customFormat="1" ht="15.75" customHeight="1" spans="4:14">
      <c r="D586" s="2"/>
      <c r="K586" s="2"/>
      <c r="N586" s="11"/>
    </row>
    <row r="587" s="1" customFormat="1" ht="15.75" customHeight="1" spans="4:14">
      <c r="D587" s="2"/>
      <c r="K587" s="2"/>
      <c r="N587" s="11"/>
    </row>
    <row r="588" s="1" customFormat="1" ht="15.75" customHeight="1" spans="4:14">
      <c r="D588" s="2"/>
      <c r="K588" s="2"/>
      <c r="N588" s="11"/>
    </row>
    <row r="589" s="1" customFormat="1" ht="15.75" customHeight="1" spans="4:14">
      <c r="D589" s="2"/>
      <c r="K589" s="2"/>
      <c r="N589" s="11"/>
    </row>
    <row r="590" s="1" customFormat="1" ht="15.75" customHeight="1" spans="4:14">
      <c r="D590" s="2"/>
      <c r="K590" s="2"/>
      <c r="N590" s="11"/>
    </row>
    <row r="591" s="1" customFormat="1" ht="15.75" customHeight="1" spans="4:14">
      <c r="D591" s="2"/>
      <c r="K591" s="2"/>
      <c r="N591" s="11"/>
    </row>
    <row r="592" s="1" customFormat="1" ht="15.75" customHeight="1" spans="4:14">
      <c r="D592" s="2"/>
      <c r="K592" s="2"/>
      <c r="N592" s="11"/>
    </row>
    <row r="593" s="1" customFormat="1" ht="15.75" customHeight="1" spans="4:14">
      <c r="D593" s="2"/>
      <c r="K593" s="2"/>
      <c r="N593" s="11"/>
    </row>
    <row r="594" s="1" customFormat="1" ht="15.75" customHeight="1" spans="4:14">
      <c r="D594" s="2"/>
      <c r="K594" s="2"/>
      <c r="N594" s="11"/>
    </row>
    <row r="595" s="1" customFormat="1" ht="15.75" customHeight="1" spans="4:14">
      <c r="D595" s="2"/>
      <c r="K595" s="2"/>
      <c r="N595" s="11"/>
    </row>
    <row r="596" s="1" customFormat="1" ht="15.75" customHeight="1" spans="4:14">
      <c r="D596" s="2"/>
      <c r="K596" s="2"/>
      <c r="N596" s="11"/>
    </row>
    <row r="597" s="1" customFormat="1" ht="15.75" customHeight="1" spans="4:14">
      <c r="D597" s="2"/>
      <c r="K597" s="2"/>
      <c r="N597" s="11"/>
    </row>
    <row r="598" s="1" customFormat="1" ht="15.75" customHeight="1" spans="4:14">
      <c r="D598" s="2"/>
      <c r="K598" s="2"/>
      <c r="N598" s="11"/>
    </row>
    <row r="599" s="1" customFormat="1" ht="15.75" customHeight="1" spans="4:14">
      <c r="D599" s="2"/>
      <c r="K599" s="2"/>
      <c r="N599" s="11"/>
    </row>
    <row r="600" s="1" customFormat="1" ht="15.75" customHeight="1" spans="4:14">
      <c r="D600" s="2"/>
      <c r="K600" s="2"/>
      <c r="N600" s="11"/>
    </row>
    <row r="601" s="1" customFormat="1" ht="15.75" customHeight="1" spans="4:14">
      <c r="D601" s="2"/>
      <c r="K601" s="2"/>
      <c r="N601" s="11"/>
    </row>
    <row r="602" s="1" customFormat="1" ht="15.75" customHeight="1" spans="4:14">
      <c r="D602" s="2"/>
      <c r="K602" s="2"/>
      <c r="N602" s="11"/>
    </row>
    <row r="603" s="1" customFormat="1" ht="15.75" customHeight="1" spans="4:14">
      <c r="D603" s="2"/>
      <c r="K603" s="2"/>
      <c r="N603" s="11"/>
    </row>
    <row r="604" s="1" customFormat="1" ht="15.75" customHeight="1" spans="4:14">
      <c r="D604" s="2"/>
      <c r="K604" s="2"/>
      <c r="N604" s="11"/>
    </row>
    <row r="605" s="1" customFormat="1" ht="15.75" customHeight="1" spans="4:14">
      <c r="D605" s="2"/>
      <c r="K605" s="2"/>
      <c r="N605" s="11"/>
    </row>
    <row r="606" s="1" customFormat="1" ht="15.75" customHeight="1" spans="4:14">
      <c r="D606" s="2"/>
      <c r="K606" s="2"/>
      <c r="N606" s="11"/>
    </row>
    <row r="607" s="1" customFormat="1" ht="15.75" customHeight="1" spans="4:14">
      <c r="D607" s="2"/>
      <c r="K607" s="2"/>
      <c r="N607" s="11"/>
    </row>
    <row r="608" s="1" customFormat="1" ht="15.75" customHeight="1" spans="4:14">
      <c r="D608" s="2"/>
      <c r="K608" s="2"/>
      <c r="N608" s="11"/>
    </row>
    <row r="609" s="1" customFormat="1" ht="15.75" customHeight="1" spans="4:14">
      <c r="D609" s="2"/>
      <c r="K609" s="2"/>
      <c r="N609" s="11"/>
    </row>
    <row r="610" s="1" customFormat="1" ht="15.75" customHeight="1" spans="4:14">
      <c r="D610" s="2"/>
      <c r="K610" s="2"/>
      <c r="N610" s="11"/>
    </row>
    <row r="611" s="1" customFormat="1" ht="15.75" customHeight="1" spans="4:14">
      <c r="D611" s="2"/>
      <c r="K611" s="2"/>
      <c r="N611" s="11"/>
    </row>
    <row r="612" s="1" customFormat="1" ht="15.75" customHeight="1" spans="4:14">
      <c r="D612" s="2"/>
      <c r="K612" s="2"/>
      <c r="N612" s="11"/>
    </row>
    <row r="613" s="1" customFormat="1" ht="15.75" customHeight="1" spans="4:14">
      <c r="D613" s="2"/>
      <c r="K613" s="2"/>
      <c r="N613" s="11"/>
    </row>
    <row r="614" s="1" customFormat="1" ht="15.75" customHeight="1" spans="4:14">
      <c r="D614" s="2"/>
      <c r="K614" s="2"/>
      <c r="N614" s="11"/>
    </row>
    <row r="615" s="1" customFormat="1" ht="15.75" customHeight="1" spans="4:14">
      <c r="D615" s="2"/>
      <c r="K615" s="2"/>
      <c r="N615" s="11"/>
    </row>
    <row r="616" s="1" customFormat="1" ht="15.75" customHeight="1" spans="4:14">
      <c r="D616" s="2"/>
      <c r="K616" s="2"/>
      <c r="N616" s="11"/>
    </row>
    <row r="617" s="1" customFormat="1" ht="15.75" customHeight="1" spans="4:14">
      <c r="D617" s="2"/>
      <c r="K617" s="2"/>
      <c r="N617" s="11"/>
    </row>
    <row r="618" s="1" customFormat="1" ht="15.75" customHeight="1" spans="4:14">
      <c r="D618" s="2"/>
      <c r="K618" s="2"/>
      <c r="N618" s="11"/>
    </row>
    <row r="619" s="1" customFormat="1" ht="15.75" customHeight="1" spans="4:14">
      <c r="D619" s="2"/>
      <c r="K619" s="2"/>
      <c r="N619" s="11"/>
    </row>
    <row r="620" s="1" customFormat="1" ht="15.75" customHeight="1" spans="4:14">
      <c r="D620" s="2"/>
      <c r="K620" s="2"/>
      <c r="N620" s="11"/>
    </row>
    <row r="621" s="1" customFormat="1" ht="15.75" customHeight="1" spans="4:14">
      <c r="D621" s="2"/>
      <c r="K621" s="2"/>
      <c r="N621" s="11"/>
    </row>
    <row r="622" s="1" customFormat="1" ht="15.75" customHeight="1" spans="4:14">
      <c r="D622" s="2"/>
      <c r="K622" s="2"/>
      <c r="N622" s="11"/>
    </row>
    <row r="623" s="1" customFormat="1" ht="15.75" customHeight="1" spans="4:14">
      <c r="D623" s="2"/>
      <c r="K623" s="2"/>
      <c r="N623" s="11"/>
    </row>
    <row r="624" s="1" customFormat="1" ht="15.75" customHeight="1" spans="4:14">
      <c r="D624" s="2"/>
      <c r="K624" s="2"/>
      <c r="N624" s="11"/>
    </row>
    <row r="625" s="1" customFormat="1" ht="15.75" customHeight="1" spans="4:14">
      <c r="D625" s="2"/>
      <c r="K625" s="2"/>
      <c r="N625" s="11"/>
    </row>
    <row r="626" s="1" customFormat="1" ht="15.75" customHeight="1" spans="4:14">
      <c r="D626" s="2"/>
      <c r="K626" s="2"/>
      <c r="N626" s="11"/>
    </row>
    <row r="627" s="1" customFormat="1" ht="15.75" customHeight="1" spans="4:14">
      <c r="D627" s="2"/>
      <c r="K627" s="2"/>
      <c r="N627" s="11"/>
    </row>
    <row r="628" s="1" customFormat="1" ht="15.75" customHeight="1" spans="4:14">
      <c r="D628" s="2"/>
      <c r="K628" s="2"/>
      <c r="N628" s="11"/>
    </row>
    <row r="629" s="1" customFormat="1" ht="15.75" customHeight="1" spans="4:14">
      <c r="D629" s="2"/>
      <c r="K629" s="2"/>
      <c r="N629" s="11"/>
    </row>
    <row r="630" s="1" customFormat="1" ht="15.75" customHeight="1" spans="4:14">
      <c r="D630" s="2"/>
      <c r="K630" s="2"/>
      <c r="N630" s="11"/>
    </row>
    <row r="631" s="1" customFormat="1" ht="15.75" customHeight="1" spans="4:14">
      <c r="D631" s="2"/>
      <c r="K631" s="2"/>
      <c r="N631" s="11"/>
    </row>
    <row r="632" s="1" customFormat="1" ht="15.75" customHeight="1" spans="4:14">
      <c r="D632" s="2"/>
      <c r="K632" s="2"/>
      <c r="N632" s="11"/>
    </row>
    <row r="633" s="1" customFormat="1" ht="15.75" customHeight="1" spans="4:14">
      <c r="D633" s="2"/>
      <c r="K633" s="2"/>
      <c r="N633" s="11"/>
    </row>
    <row r="634" s="1" customFormat="1" ht="15.75" customHeight="1" spans="4:14">
      <c r="D634" s="2"/>
      <c r="K634" s="2"/>
      <c r="N634" s="11"/>
    </row>
    <row r="635" s="1" customFormat="1" ht="15.75" customHeight="1" spans="4:14">
      <c r="D635" s="2"/>
      <c r="K635" s="2"/>
      <c r="N635" s="11"/>
    </row>
    <row r="636" s="1" customFormat="1" ht="15.75" customHeight="1" spans="4:14">
      <c r="D636" s="2"/>
      <c r="K636" s="2"/>
      <c r="N636" s="11"/>
    </row>
    <row r="637" s="1" customFormat="1" ht="15.75" customHeight="1" spans="4:14">
      <c r="D637" s="2"/>
      <c r="K637" s="2"/>
      <c r="N637" s="11"/>
    </row>
    <row r="638" s="1" customFormat="1" ht="15.75" customHeight="1" spans="4:14">
      <c r="D638" s="2"/>
      <c r="K638" s="2"/>
      <c r="N638" s="11"/>
    </row>
    <row r="639" s="1" customFormat="1" ht="15.75" customHeight="1" spans="4:14">
      <c r="D639" s="2"/>
      <c r="K639" s="2"/>
      <c r="N639" s="11"/>
    </row>
    <row r="640" s="1" customFormat="1" ht="15.75" customHeight="1" spans="4:14">
      <c r="D640" s="2"/>
      <c r="K640" s="2"/>
      <c r="N640" s="11"/>
    </row>
    <row r="641" s="1" customFormat="1" ht="15.75" customHeight="1" spans="4:14">
      <c r="D641" s="2"/>
      <c r="K641" s="2"/>
      <c r="N641" s="11"/>
    </row>
    <row r="642" s="1" customFormat="1" ht="15.75" customHeight="1" spans="4:14">
      <c r="D642" s="2"/>
      <c r="K642" s="2"/>
      <c r="N642" s="11"/>
    </row>
    <row r="643" s="1" customFormat="1" ht="15.75" customHeight="1" spans="4:14">
      <c r="D643" s="2"/>
      <c r="K643" s="2"/>
      <c r="N643" s="11"/>
    </row>
    <row r="644" s="1" customFormat="1" ht="15.75" customHeight="1" spans="4:14">
      <c r="D644" s="2"/>
      <c r="K644" s="2"/>
      <c r="N644" s="11"/>
    </row>
    <row r="645" s="1" customFormat="1" ht="15.75" customHeight="1" spans="4:14">
      <c r="D645" s="2"/>
      <c r="K645" s="2"/>
      <c r="N645" s="11"/>
    </row>
    <row r="646" s="1" customFormat="1" ht="15.75" customHeight="1" spans="4:14">
      <c r="D646" s="2"/>
      <c r="K646" s="2"/>
      <c r="N646" s="11"/>
    </row>
    <row r="647" s="1" customFormat="1" ht="15.75" customHeight="1" spans="4:14">
      <c r="D647" s="2"/>
      <c r="K647" s="2"/>
      <c r="N647" s="11"/>
    </row>
    <row r="648" s="1" customFormat="1" ht="15.75" customHeight="1" spans="4:14">
      <c r="D648" s="2"/>
      <c r="K648" s="2"/>
      <c r="N648" s="11"/>
    </row>
    <row r="649" s="1" customFormat="1" ht="15.75" customHeight="1" spans="4:14">
      <c r="D649" s="2"/>
      <c r="K649" s="2"/>
      <c r="N649" s="11"/>
    </row>
    <row r="650" s="1" customFormat="1" ht="15.75" customHeight="1" spans="4:14">
      <c r="D650" s="2"/>
      <c r="K650" s="2"/>
      <c r="N650" s="11"/>
    </row>
    <row r="651" s="1" customFormat="1" ht="15.75" customHeight="1" spans="4:14">
      <c r="D651" s="2"/>
      <c r="K651" s="2"/>
      <c r="N651" s="11"/>
    </row>
    <row r="652" s="1" customFormat="1" ht="15.75" customHeight="1" spans="4:14">
      <c r="D652" s="2"/>
      <c r="K652" s="2"/>
      <c r="N652" s="11"/>
    </row>
    <row r="653" s="1" customFormat="1" ht="15.75" customHeight="1" spans="4:14">
      <c r="D653" s="2"/>
      <c r="K653" s="2"/>
      <c r="N653" s="11"/>
    </row>
    <row r="654" s="1" customFormat="1" ht="15.75" customHeight="1" spans="4:14">
      <c r="D654" s="2"/>
      <c r="K654" s="2"/>
      <c r="N654" s="11"/>
    </row>
    <row r="655" s="1" customFormat="1" ht="15.75" customHeight="1" spans="4:14">
      <c r="D655" s="2"/>
      <c r="K655" s="2"/>
      <c r="N655" s="11"/>
    </row>
    <row r="656" s="1" customFormat="1" ht="15.75" customHeight="1" spans="4:14">
      <c r="D656" s="2"/>
      <c r="K656" s="2"/>
      <c r="N656" s="11"/>
    </row>
    <row r="657" s="1" customFormat="1" ht="15.75" customHeight="1" spans="4:14">
      <c r="D657" s="2"/>
      <c r="K657" s="2"/>
      <c r="N657" s="11"/>
    </row>
    <row r="658" s="1" customFormat="1" ht="15.75" customHeight="1" spans="4:14">
      <c r="D658" s="2"/>
      <c r="K658" s="2"/>
      <c r="N658" s="11"/>
    </row>
    <row r="659" s="1" customFormat="1" ht="15.75" customHeight="1" spans="4:14">
      <c r="D659" s="2"/>
      <c r="K659" s="2"/>
      <c r="N659" s="11"/>
    </row>
    <row r="660" s="1" customFormat="1" ht="15.75" customHeight="1" spans="4:14">
      <c r="D660" s="2"/>
      <c r="K660" s="2"/>
      <c r="N660" s="11"/>
    </row>
    <row r="661" s="1" customFormat="1" ht="15.75" customHeight="1" spans="4:14">
      <c r="D661" s="2"/>
      <c r="K661" s="2"/>
      <c r="N661" s="11"/>
    </row>
    <row r="662" s="1" customFormat="1" ht="15.75" customHeight="1" spans="4:14">
      <c r="D662" s="2"/>
      <c r="K662" s="2"/>
      <c r="N662" s="11"/>
    </row>
    <row r="663" s="1" customFormat="1" ht="15.75" customHeight="1" spans="4:14">
      <c r="D663" s="2"/>
      <c r="K663" s="2"/>
      <c r="N663" s="11"/>
    </row>
    <row r="664" s="1" customFormat="1" ht="15.75" customHeight="1" spans="4:14">
      <c r="D664" s="2"/>
      <c r="K664" s="2"/>
      <c r="N664" s="11"/>
    </row>
    <row r="665" s="1" customFormat="1" ht="15.75" customHeight="1" spans="4:14">
      <c r="D665" s="2"/>
      <c r="K665" s="2"/>
      <c r="N665" s="11"/>
    </row>
    <row r="666" s="1" customFormat="1" ht="15.75" customHeight="1" spans="4:14">
      <c r="D666" s="2"/>
      <c r="K666" s="2"/>
      <c r="N666" s="11"/>
    </row>
    <row r="667" s="1" customFormat="1" ht="15.75" customHeight="1" spans="4:14">
      <c r="D667" s="2"/>
      <c r="K667" s="2"/>
      <c r="N667" s="11"/>
    </row>
    <row r="668" s="1" customFormat="1" ht="15.75" customHeight="1" spans="4:14">
      <c r="D668" s="2"/>
      <c r="K668" s="2"/>
      <c r="N668" s="11"/>
    </row>
    <row r="669" s="1" customFormat="1" ht="15.75" customHeight="1" spans="4:14">
      <c r="D669" s="2"/>
      <c r="K669" s="2"/>
      <c r="N669" s="11"/>
    </row>
    <row r="670" s="1" customFormat="1" ht="15.75" customHeight="1" spans="4:14">
      <c r="D670" s="2"/>
      <c r="K670" s="2"/>
      <c r="N670" s="11"/>
    </row>
    <row r="671" s="1" customFormat="1" ht="15.75" customHeight="1" spans="4:14">
      <c r="D671" s="2"/>
      <c r="K671" s="2"/>
      <c r="N671" s="11"/>
    </row>
    <row r="672" s="1" customFormat="1" ht="15.75" customHeight="1" spans="4:14">
      <c r="D672" s="2"/>
      <c r="K672" s="2"/>
      <c r="N672" s="11"/>
    </row>
    <row r="673" s="1" customFormat="1" ht="15.75" customHeight="1" spans="4:14">
      <c r="D673" s="2"/>
      <c r="K673" s="2"/>
      <c r="N673" s="11"/>
    </row>
    <row r="674" s="1" customFormat="1" ht="15.75" customHeight="1" spans="4:14">
      <c r="D674" s="2"/>
      <c r="K674" s="2"/>
      <c r="N674" s="11"/>
    </row>
    <row r="675" s="1" customFormat="1" ht="15.75" customHeight="1" spans="4:14">
      <c r="D675" s="2"/>
      <c r="K675" s="2"/>
      <c r="N675" s="11"/>
    </row>
    <row r="676" s="1" customFormat="1" ht="15.75" customHeight="1" spans="4:14">
      <c r="D676" s="2"/>
      <c r="K676" s="2"/>
      <c r="N676" s="11"/>
    </row>
    <row r="677" s="1" customFormat="1" ht="15.75" customHeight="1" spans="4:14">
      <c r="D677" s="2"/>
      <c r="K677" s="2"/>
      <c r="N677" s="11"/>
    </row>
    <row r="678" s="1" customFormat="1" ht="15.75" customHeight="1" spans="4:14">
      <c r="D678" s="2"/>
      <c r="K678" s="2"/>
      <c r="N678" s="11"/>
    </row>
    <row r="679" s="1" customFormat="1" ht="15.75" customHeight="1" spans="4:14">
      <c r="D679" s="2"/>
      <c r="K679" s="2"/>
      <c r="N679" s="11"/>
    </row>
    <row r="680" s="1" customFormat="1" ht="15.75" customHeight="1" spans="4:14">
      <c r="D680" s="2"/>
      <c r="K680" s="2"/>
      <c r="N680" s="11"/>
    </row>
    <row r="681" s="1" customFormat="1" ht="15.75" customHeight="1" spans="4:14">
      <c r="D681" s="2"/>
      <c r="K681" s="2"/>
      <c r="N681" s="11"/>
    </row>
    <row r="682" s="1" customFormat="1" ht="15.75" customHeight="1" spans="4:14">
      <c r="D682" s="2"/>
      <c r="K682" s="2"/>
      <c r="N682" s="11"/>
    </row>
    <row r="683" s="1" customFormat="1" ht="15.75" customHeight="1" spans="4:14">
      <c r="D683" s="2"/>
      <c r="K683" s="2"/>
      <c r="N683" s="11"/>
    </row>
    <row r="684" s="1" customFormat="1" ht="15.75" customHeight="1" spans="4:14">
      <c r="D684" s="2"/>
      <c r="K684" s="2"/>
      <c r="N684" s="11"/>
    </row>
    <row r="685" s="1" customFormat="1" ht="15.75" customHeight="1" spans="4:14">
      <c r="D685" s="2"/>
      <c r="K685" s="2"/>
      <c r="N685" s="11"/>
    </row>
    <row r="686" s="1" customFormat="1" ht="15.75" customHeight="1" spans="4:14">
      <c r="D686" s="2"/>
      <c r="K686" s="2"/>
      <c r="N686" s="11"/>
    </row>
    <row r="687" s="1" customFormat="1" ht="15.75" customHeight="1" spans="4:14">
      <c r="D687" s="2"/>
      <c r="K687" s="2"/>
      <c r="N687" s="11"/>
    </row>
    <row r="688" s="1" customFormat="1" ht="15.75" customHeight="1" spans="4:14">
      <c r="D688" s="2"/>
      <c r="K688" s="2"/>
      <c r="N688" s="11"/>
    </row>
    <row r="689" s="1" customFormat="1" ht="15.75" customHeight="1" spans="4:14">
      <c r="D689" s="2"/>
      <c r="K689" s="2"/>
      <c r="N689" s="11"/>
    </row>
    <row r="690" s="1" customFormat="1" ht="15.75" customHeight="1" spans="4:14">
      <c r="D690" s="2"/>
      <c r="K690" s="2"/>
      <c r="N690" s="11"/>
    </row>
    <row r="691" s="1" customFormat="1" ht="15.75" customHeight="1" spans="4:14">
      <c r="D691" s="2"/>
      <c r="K691" s="2"/>
      <c r="N691" s="11"/>
    </row>
    <row r="692" s="1" customFormat="1" ht="15.75" customHeight="1" spans="4:14">
      <c r="D692" s="2"/>
      <c r="K692" s="2"/>
      <c r="N692" s="11"/>
    </row>
    <row r="693" s="1" customFormat="1" ht="15.75" customHeight="1" spans="4:14">
      <c r="D693" s="2"/>
      <c r="K693" s="2"/>
      <c r="N693" s="11"/>
    </row>
    <row r="694" s="1" customFormat="1" ht="15.75" customHeight="1" spans="4:14">
      <c r="D694" s="2"/>
      <c r="K694" s="2"/>
      <c r="N694" s="11"/>
    </row>
    <row r="695" s="1" customFormat="1" ht="15.75" customHeight="1" spans="4:14">
      <c r="D695" s="2"/>
      <c r="K695" s="2"/>
      <c r="N695" s="11"/>
    </row>
    <row r="696" s="1" customFormat="1" ht="15.75" customHeight="1" spans="4:14">
      <c r="D696" s="2"/>
      <c r="K696" s="2"/>
      <c r="N696" s="11"/>
    </row>
    <row r="697" s="1" customFormat="1" ht="15.75" customHeight="1" spans="4:14">
      <c r="D697" s="2"/>
      <c r="K697" s="2"/>
      <c r="N697" s="11"/>
    </row>
    <row r="698" s="1" customFormat="1" ht="15.75" customHeight="1" spans="4:14">
      <c r="D698" s="2"/>
      <c r="K698" s="2"/>
      <c r="N698" s="11"/>
    </row>
    <row r="699" s="1" customFormat="1" ht="15.75" customHeight="1" spans="4:14">
      <c r="D699" s="2"/>
      <c r="K699" s="2"/>
      <c r="N699" s="11"/>
    </row>
    <row r="700" s="1" customFormat="1" ht="15.75" customHeight="1" spans="4:14">
      <c r="D700" s="2"/>
      <c r="K700" s="2"/>
      <c r="N700" s="11"/>
    </row>
    <row r="701" s="1" customFormat="1" ht="15.75" customHeight="1" spans="4:14">
      <c r="D701" s="2"/>
      <c r="K701" s="2"/>
      <c r="N701" s="11"/>
    </row>
    <row r="702" s="1" customFormat="1" ht="15.75" customHeight="1" spans="4:14">
      <c r="D702" s="2"/>
      <c r="K702" s="2"/>
      <c r="N702" s="11"/>
    </row>
    <row r="703" s="1" customFormat="1" ht="15.75" customHeight="1" spans="4:14">
      <c r="D703" s="2"/>
      <c r="K703" s="2"/>
      <c r="N703" s="11"/>
    </row>
    <row r="704" s="1" customFormat="1" ht="15.75" customHeight="1" spans="4:14">
      <c r="D704" s="2"/>
      <c r="K704" s="2"/>
      <c r="N704" s="11"/>
    </row>
    <row r="705" s="1" customFormat="1" ht="15.75" customHeight="1" spans="4:14">
      <c r="D705" s="2"/>
      <c r="K705" s="2"/>
      <c r="N705" s="11"/>
    </row>
    <row r="706" s="1" customFormat="1" ht="15.75" customHeight="1" spans="4:14">
      <c r="D706" s="2"/>
      <c r="K706" s="2"/>
      <c r="N706" s="11"/>
    </row>
    <row r="707" s="1" customFormat="1" ht="15.75" customHeight="1" spans="4:14">
      <c r="D707" s="2"/>
      <c r="K707" s="2"/>
      <c r="N707" s="11"/>
    </row>
    <row r="708" s="1" customFormat="1" ht="15.75" customHeight="1" spans="4:14">
      <c r="D708" s="2"/>
      <c r="K708" s="2"/>
      <c r="N708" s="11"/>
    </row>
    <row r="709" s="1" customFormat="1" ht="15.75" customHeight="1" spans="4:14">
      <c r="D709" s="2"/>
      <c r="K709" s="2"/>
      <c r="N709" s="11"/>
    </row>
    <row r="710" s="1" customFormat="1" ht="15.75" customHeight="1" spans="4:14">
      <c r="D710" s="2"/>
      <c r="K710" s="2"/>
      <c r="N710" s="11"/>
    </row>
    <row r="711" s="1" customFormat="1" ht="15.75" customHeight="1" spans="4:14">
      <c r="D711" s="2"/>
      <c r="K711" s="2"/>
      <c r="N711" s="11"/>
    </row>
    <row r="712" s="1" customFormat="1" ht="15.75" customHeight="1" spans="4:14">
      <c r="D712" s="2"/>
      <c r="K712" s="2"/>
      <c r="N712" s="11"/>
    </row>
    <row r="713" s="1" customFormat="1" ht="15.75" customHeight="1" spans="4:14">
      <c r="D713" s="2"/>
      <c r="K713" s="2"/>
      <c r="N713" s="11"/>
    </row>
    <row r="714" s="1" customFormat="1" ht="15.75" customHeight="1" spans="4:14">
      <c r="D714" s="2"/>
      <c r="K714" s="2"/>
      <c r="N714" s="11"/>
    </row>
    <row r="715" s="1" customFormat="1" ht="15.75" customHeight="1" spans="4:14">
      <c r="D715" s="2"/>
      <c r="K715" s="2"/>
      <c r="N715" s="11"/>
    </row>
    <row r="716" s="1" customFormat="1" ht="15.75" customHeight="1" spans="4:14">
      <c r="D716" s="2"/>
      <c r="K716" s="2"/>
      <c r="N716" s="11"/>
    </row>
    <row r="717" s="1" customFormat="1" ht="15.75" customHeight="1" spans="4:14">
      <c r="D717" s="2"/>
      <c r="K717" s="2"/>
      <c r="N717" s="11"/>
    </row>
    <row r="718" s="1" customFormat="1" ht="15.75" customHeight="1" spans="4:14">
      <c r="D718" s="2"/>
      <c r="K718" s="2"/>
      <c r="N718" s="11"/>
    </row>
    <row r="719" s="1" customFormat="1" ht="15.75" customHeight="1" spans="4:14">
      <c r="D719" s="2"/>
      <c r="K719" s="2"/>
      <c r="N719" s="11"/>
    </row>
    <row r="720" s="1" customFormat="1" ht="15.75" customHeight="1" spans="4:14">
      <c r="D720" s="2"/>
      <c r="K720" s="2"/>
      <c r="N720" s="11"/>
    </row>
    <row r="721" s="1" customFormat="1" ht="15.75" customHeight="1" spans="4:14">
      <c r="D721" s="2"/>
      <c r="K721" s="2"/>
      <c r="N721" s="11"/>
    </row>
    <row r="722" s="1" customFormat="1" ht="15.75" customHeight="1" spans="4:14">
      <c r="D722" s="2"/>
      <c r="K722" s="2"/>
      <c r="N722" s="11"/>
    </row>
    <row r="723" s="1" customFormat="1" ht="15.75" customHeight="1" spans="4:14">
      <c r="D723" s="2"/>
      <c r="K723" s="2"/>
      <c r="N723" s="11"/>
    </row>
    <row r="724" s="1" customFormat="1" ht="15.75" customHeight="1" spans="4:14">
      <c r="D724" s="2"/>
      <c r="K724" s="2"/>
      <c r="N724" s="11"/>
    </row>
    <row r="725" s="1" customFormat="1" ht="15.75" customHeight="1" spans="4:14">
      <c r="D725" s="2"/>
      <c r="K725" s="2"/>
      <c r="N725" s="11"/>
    </row>
    <row r="726" s="1" customFormat="1" ht="15.75" customHeight="1" spans="4:14">
      <c r="D726" s="2"/>
      <c r="K726" s="2"/>
      <c r="N726" s="11"/>
    </row>
    <row r="727" s="1" customFormat="1" ht="15.75" customHeight="1" spans="4:14">
      <c r="D727" s="2"/>
      <c r="K727" s="2"/>
      <c r="N727" s="11"/>
    </row>
    <row r="728" s="1" customFormat="1" ht="15.75" customHeight="1" spans="4:14">
      <c r="D728" s="2"/>
      <c r="K728" s="2"/>
      <c r="N728" s="11"/>
    </row>
    <row r="729" s="1" customFormat="1" ht="15.75" customHeight="1" spans="4:14">
      <c r="D729" s="2"/>
      <c r="K729" s="2"/>
      <c r="N729" s="11"/>
    </row>
    <row r="730" s="1" customFormat="1" ht="15.75" customHeight="1" spans="4:14">
      <c r="D730" s="2"/>
      <c r="K730" s="2"/>
      <c r="N730" s="11"/>
    </row>
    <row r="731" s="1" customFormat="1" ht="15.75" customHeight="1" spans="4:14">
      <c r="D731" s="2"/>
      <c r="K731" s="2"/>
      <c r="N731" s="11"/>
    </row>
    <row r="732" s="1" customFormat="1" ht="15.75" customHeight="1" spans="4:14">
      <c r="D732" s="2"/>
      <c r="K732" s="2"/>
      <c r="N732" s="11"/>
    </row>
    <row r="733" s="1" customFormat="1" ht="15.75" customHeight="1" spans="4:14">
      <c r="D733" s="2"/>
      <c r="K733" s="2"/>
      <c r="N733" s="11"/>
    </row>
    <row r="734" s="1" customFormat="1" ht="15.75" customHeight="1" spans="4:14">
      <c r="D734" s="2"/>
      <c r="K734" s="2"/>
      <c r="N734" s="11"/>
    </row>
    <row r="735" s="1" customFormat="1" ht="15.75" customHeight="1" spans="4:14">
      <c r="D735" s="2"/>
      <c r="K735" s="2"/>
      <c r="N735" s="11"/>
    </row>
    <row r="736" s="1" customFormat="1" ht="15.75" customHeight="1" spans="4:14">
      <c r="D736" s="2"/>
      <c r="K736" s="2"/>
      <c r="N736" s="11"/>
    </row>
    <row r="737" s="1" customFormat="1" ht="15.75" customHeight="1" spans="4:14">
      <c r="D737" s="2"/>
      <c r="K737" s="2"/>
      <c r="N737" s="11"/>
    </row>
    <row r="738" s="1" customFormat="1" ht="15.75" customHeight="1" spans="4:14">
      <c r="D738" s="2"/>
      <c r="K738" s="2"/>
      <c r="N738" s="11"/>
    </row>
    <row r="739" s="1" customFormat="1" ht="15.75" customHeight="1" spans="4:14">
      <c r="D739" s="2"/>
      <c r="K739" s="2"/>
      <c r="N739" s="11"/>
    </row>
    <row r="740" s="1" customFormat="1" ht="15.75" customHeight="1" spans="4:14">
      <c r="D740" s="2"/>
      <c r="K740" s="2"/>
      <c r="N740" s="11"/>
    </row>
    <row r="741" s="1" customFormat="1" ht="15.75" customHeight="1" spans="4:14">
      <c r="D741" s="2"/>
      <c r="K741" s="2"/>
      <c r="N741" s="11"/>
    </row>
    <row r="742" s="1" customFormat="1" ht="15.75" customHeight="1" spans="4:14">
      <c r="D742" s="2"/>
      <c r="K742" s="2"/>
      <c r="N742" s="11"/>
    </row>
    <row r="743" s="1" customFormat="1" ht="15.75" customHeight="1" spans="4:14">
      <c r="D743" s="2"/>
      <c r="K743" s="2"/>
      <c r="N743" s="11"/>
    </row>
    <row r="744" s="1" customFormat="1" ht="15.75" customHeight="1" spans="4:14">
      <c r="D744" s="2"/>
      <c r="K744" s="2"/>
      <c r="N744" s="11"/>
    </row>
    <row r="745" s="1" customFormat="1" ht="15.75" customHeight="1" spans="4:14">
      <c r="D745" s="2"/>
      <c r="K745" s="2"/>
      <c r="N745" s="11"/>
    </row>
    <row r="746" s="1" customFormat="1" ht="15.75" customHeight="1" spans="4:14">
      <c r="D746" s="2"/>
      <c r="K746" s="2"/>
      <c r="N746" s="11"/>
    </row>
    <row r="747" s="1" customFormat="1" ht="15.75" customHeight="1" spans="4:14">
      <c r="D747" s="2"/>
      <c r="K747" s="2"/>
      <c r="N747" s="11"/>
    </row>
    <row r="748" s="1" customFormat="1" ht="15.75" customHeight="1" spans="4:14">
      <c r="D748" s="2"/>
      <c r="K748" s="2"/>
      <c r="N748" s="11"/>
    </row>
    <row r="749" s="1" customFormat="1" ht="15.75" customHeight="1" spans="4:14">
      <c r="D749" s="2"/>
      <c r="K749" s="2"/>
      <c r="N749" s="11"/>
    </row>
    <row r="750" s="1" customFormat="1" ht="15.75" customHeight="1" spans="4:14">
      <c r="D750" s="2"/>
      <c r="K750" s="2"/>
      <c r="N750" s="11"/>
    </row>
    <row r="751" s="1" customFormat="1" ht="15.75" customHeight="1" spans="4:14">
      <c r="D751" s="2"/>
      <c r="K751" s="2"/>
      <c r="N751" s="11"/>
    </row>
    <row r="752" s="1" customFormat="1" ht="15.75" customHeight="1" spans="4:14">
      <c r="D752" s="2"/>
      <c r="K752" s="2"/>
      <c r="N752" s="11"/>
    </row>
    <row r="753" s="1" customFormat="1" ht="15.75" customHeight="1" spans="4:14">
      <c r="D753" s="2"/>
      <c r="K753" s="2"/>
      <c r="N753" s="11"/>
    </row>
    <row r="754" s="1" customFormat="1" ht="15.75" customHeight="1" spans="4:14">
      <c r="D754" s="2"/>
      <c r="K754" s="2"/>
      <c r="N754" s="11"/>
    </row>
    <row r="755" s="1" customFormat="1" ht="15.75" customHeight="1" spans="4:14">
      <c r="D755" s="2"/>
      <c r="K755" s="2"/>
      <c r="N755" s="11"/>
    </row>
    <row r="756" s="1" customFormat="1" ht="15.75" customHeight="1" spans="4:14">
      <c r="D756" s="2"/>
      <c r="K756" s="2"/>
      <c r="N756" s="11"/>
    </row>
    <row r="757" s="1" customFormat="1" ht="15.75" customHeight="1" spans="4:14">
      <c r="D757" s="2"/>
      <c r="K757" s="2"/>
      <c r="N757" s="11"/>
    </row>
    <row r="758" s="1" customFormat="1" ht="15.75" customHeight="1" spans="4:14">
      <c r="D758" s="2"/>
      <c r="K758" s="2"/>
      <c r="N758" s="11"/>
    </row>
    <row r="759" s="1" customFormat="1" ht="15.75" customHeight="1" spans="4:14">
      <c r="D759" s="2"/>
      <c r="K759" s="2"/>
      <c r="N759" s="11"/>
    </row>
    <row r="760" s="1" customFormat="1" ht="15.75" customHeight="1" spans="4:14">
      <c r="D760" s="2"/>
      <c r="K760" s="2"/>
      <c r="N760" s="11"/>
    </row>
    <row r="761" s="1" customFormat="1" ht="15.75" customHeight="1" spans="4:14">
      <c r="D761" s="2"/>
      <c r="K761" s="2"/>
      <c r="N761" s="11"/>
    </row>
    <row r="762" s="1" customFormat="1" ht="15.75" customHeight="1" spans="4:14">
      <c r="D762" s="2"/>
      <c r="K762" s="2"/>
      <c r="N762" s="11"/>
    </row>
    <row r="763" s="1" customFormat="1" ht="15.75" customHeight="1" spans="4:14">
      <c r="D763" s="2"/>
      <c r="K763" s="2"/>
      <c r="N763" s="11"/>
    </row>
    <row r="764" s="1" customFormat="1" ht="15.75" customHeight="1" spans="4:14">
      <c r="D764" s="2"/>
      <c r="K764" s="2"/>
      <c r="N764" s="11"/>
    </row>
    <row r="765" s="1" customFormat="1" ht="15.75" customHeight="1" spans="4:14">
      <c r="D765" s="2"/>
      <c r="K765" s="2"/>
      <c r="N765" s="11"/>
    </row>
    <row r="766" s="1" customFormat="1" ht="15.75" customHeight="1" spans="4:14">
      <c r="D766" s="2"/>
      <c r="K766" s="2"/>
      <c r="N766" s="11"/>
    </row>
    <row r="767" s="1" customFormat="1" ht="15.75" customHeight="1" spans="4:14">
      <c r="D767" s="2"/>
      <c r="K767" s="2"/>
      <c r="N767" s="11"/>
    </row>
    <row r="768" s="1" customFormat="1" ht="15.75" customHeight="1" spans="4:14">
      <c r="D768" s="2"/>
      <c r="K768" s="2"/>
      <c r="N768" s="11"/>
    </row>
    <row r="769" s="1" customFormat="1" ht="15.75" customHeight="1" spans="4:14">
      <c r="D769" s="2"/>
      <c r="K769" s="2"/>
      <c r="N769" s="11"/>
    </row>
    <row r="770" s="1" customFormat="1" ht="15.75" customHeight="1" spans="4:14">
      <c r="D770" s="2"/>
      <c r="K770" s="2"/>
      <c r="N770" s="11"/>
    </row>
    <row r="771" s="1" customFormat="1" ht="15.75" customHeight="1" spans="4:14">
      <c r="D771" s="2"/>
      <c r="K771" s="2"/>
      <c r="N771" s="11"/>
    </row>
    <row r="772" s="1" customFormat="1" ht="15.75" customHeight="1" spans="4:14">
      <c r="D772" s="2"/>
      <c r="K772" s="2"/>
      <c r="N772" s="11"/>
    </row>
    <row r="773" s="1" customFormat="1" ht="15.75" customHeight="1" spans="4:14">
      <c r="D773" s="2"/>
      <c r="K773" s="2"/>
      <c r="N773" s="11"/>
    </row>
    <row r="774" s="1" customFormat="1" ht="15.75" customHeight="1" spans="4:14">
      <c r="D774" s="2"/>
      <c r="K774" s="2"/>
      <c r="N774" s="11"/>
    </row>
    <row r="775" s="1" customFormat="1" ht="15.75" customHeight="1" spans="4:14">
      <c r="D775" s="2"/>
      <c r="K775" s="2"/>
      <c r="N775" s="11"/>
    </row>
    <row r="776" s="1" customFormat="1" ht="15.75" customHeight="1" spans="4:14">
      <c r="D776" s="2"/>
      <c r="K776" s="2"/>
      <c r="N776" s="11"/>
    </row>
    <row r="777" s="1" customFormat="1" ht="15.75" customHeight="1" spans="4:14">
      <c r="D777" s="2"/>
      <c r="K777" s="2"/>
      <c r="N777" s="11"/>
    </row>
    <row r="778" s="1" customFormat="1" ht="15.75" customHeight="1" spans="4:14">
      <c r="D778" s="2"/>
      <c r="K778" s="2"/>
      <c r="N778" s="11"/>
    </row>
    <row r="779" s="1" customFormat="1" ht="15.75" customHeight="1" spans="4:14">
      <c r="D779" s="2"/>
      <c r="K779" s="2"/>
      <c r="N779" s="11"/>
    </row>
    <row r="780" s="1" customFormat="1" ht="15.75" customHeight="1" spans="4:14">
      <c r="D780" s="2"/>
      <c r="K780" s="2"/>
      <c r="N780" s="11"/>
    </row>
    <row r="781" s="1" customFormat="1" ht="15.75" customHeight="1" spans="4:14">
      <c r="D781" s="2"/>
      <c r="K781" s="2"/>
      <c r="N781" s="11"/>
    </row>
    <row r="782" s="1" customFormat="1" ht="15.75" customHeight="1" spans="4:14">
      <c r="D782" s="2"/>
      <c r="K782" s="2"/>
      <c r="N782" s="11"/>
    </row>
    <row r="783" s="1" customFormat="1" ht="15.75" customHeight="1" spans="4:14">
      <c r="D783" s="2"/>
      <c r="K783" s="2"/>
      <c r="N783" s="11"/>
    </row>
    <row r="784" s="1" customFormat="1" ht="15.75" customHeight="1" spans="4:14">
      <c r="D784" s="2"/>
      <c r="K784" s="2"/>
      <c r="N784" s="11"/>
    </row>
    <row r="785" s="1" customFormat="1" ht="15.75" customHeight="1" spans="4:14">
      <c r="D785" s="2"/>
      <c r="K785" s="2"/>
      <c r="N785" s="11"/>
    </row>
    <row r="786" s="1" customFormat="1" ht="15.75" customHeight="1" spans="4:14">
      <c r="D786" s="2"/>
      <c r="K786" s="2"/>
      <c r="N786" s="11"/>
    </row>
    <row r="787" s="1" customFormat="1" ht="15.75" customHeight="1" spans="4:14">
      <c r="D787" s="2"/>
      <c r="K787" s="2"/>
      <c r="N787" s="11"/>
    </row>
    <row r="788" s="1" customFormat="1" ht="15.75" customHeight="1" spans="4:14">
      <c r="D788" s="2"/>
      <c r="K788" s="2"/>
      <c r="N788" s="11"/>
    </row>
    <row r="789" s="1" customFormat="1" ht="15.75" customHeight="1" spans="4:14">
      <c r="D789" s="2"/>
      <c r="K789" s="2"/>
      <c r="N789" s="11"/>
    </row>
    <row r="790" s="1" customFormat="1" ht="15.75" customHeight="1" spans="4:14">
      <c r="D790" s="2"/>
      <c r="K790" s="2"/>
      <c r="N790" s="11"/>
    </row>
    <row r="791" s="1" customFormat="1" ht="15.75" customHeight="1" spans="4:14">
      <c r="D791" s="2"/>
      <c r="K791" s="2"/>
      <c r="N791" s="11"/>
    </row>
    <row r="792" s="1" customFormat="1" ht="15.75" customHeight="1" spans="4:14">
      <c r="D792" s="2"/>
      <c r="K792" s="2"/>
      <c r="N792" s="11"/>
    </row>
    <row r="793" s="1" customFormat="1" ht="15.75" customHeight="1" spans="4:14">
      <c r="D793" s="2"/>
      <c r="K793" s="2"/>
      <c r="N793" s="11"/>
    </row>
    <row r="794" s="1" customFormat="1" ht="15.75" customHeight="1" spans="4:14">
      <c r="D794" s="2"/>
      <c r="K794" s="2"/>
      <c r="N794" s="11"/>
    </row>
    <row r="795" s="1" customFormat="1" ht="15.75" customHeight="1" spans="4:14">
      <c r="D795" s="2"/>
      <c r="K795" s="2"/>
      <c r="N795" s="11"/>
    </row>
    <row r="796" s="1" customFormat="1" ht="15.75" customHeight="1" spans="4:14">
      <c r="D796" s="2"/>
      <c r="K796" s="2"/>
      <c r="N796" s="11"/>
    </row>
    <row r="797" s="1" customFormat="1" ht="15.75" customHeight="1" spans="4:14">
      <c r="D797" s="2"/>
      <c r="K797" s="2"/>
      <c r="N797" s="11"/>
    </row>
    <row r="798" s="1" customFormat="1" ht="15.75" customHeight="1" spans="4:14">
      <c r="D798" s="2"/>
      <c r="K798" s="2"/>
      <c r="N798" s="11"/>
    </row>
    <row r="799" s="1" customFormat="1" ht="15.75" customHeight="1" spans="4:14">
      <c r="D799" s="2"/>
      <c r="K799" s="2"/>
      <c r="N799" s="11"/>
    </row>
    <row r="800" s="1" customFormat="1" ht="15.75" customHeight="1" spans="4:14">
      <c r="D800" s="2"/>
      <c r="K800" s="2"/>
      <c r="N800" s="11"/>
    </row>
    <row r="801" s="1" customFormat="1" ht="15.75" customHeight="1" spans="4:14">
      <c r="D801" s="2"/>
      <c r="K801" s="2"/>
      <c r="N801" s="11"/>
    </row>
    <row r="802" s="1" customFormat="1" ht="15.75" customHeight="1" spans="4:14">
      <c r="D802" s="2"/>
      <c r="K802" s="2"/>
      <c r="N802" s="11"/>
    </row>
    <row r="803" s="1" customFormat="1" ht="15.75" customHeight="1" spans="4:14">
      <c r="D803" s="2"/>
      <c r="K803" s="2"/>
      <c r="N803" s="11"/>
    </row>
    <row r="804" s="1" customFormat="1" ht="15.75" customHeight="1" spans="4:14">
      <c r="D804" s="2"/>
      <c r="K804" s="2"/>
      <c r="N804" s="11"/>
    </row>
    <row r="805" s="1" customFormat="1" ht="15.75" customHeight="1" spans="4:14">
      <c r="D805" s="2"/>
      <c r="K805" s="2"/>
      <c r="N805" s="11"/>
    </row>
    <row r="806" s="1" customFormat="1" ht="15.75" customHeight="1" spans="4:14">
      <c r="D806" s="2"/>
      <c r="K806" s="2"/>
      <c r="N806" s="11"/>
    </row>
    <row r="807" s="1" customFormat="1" ht="15.75" customHeight="1" spans="4:14">
      <c r="D807" s="2"/>
      <c r="K807" s="2"/>
      <c r="N807" s="11"/>
    </row>
    <row r="808" s="1" customFormat="1" ht="15.75" customHeight="1" spans="4:14">
      <c r="D808" s="2"/>
      <c r="K808" s="2"/>
      <c r="N808" s="11"/>
    </row>
    <row r="809" s="1" customFormat="1" ht="15.75" customHeight="1" spans="4:14">
      <c r="D809" s="2"/>
      <c r="K809" s="2"/>
      <c r="N809" s="11"/>
    </row>
    <row r="810" s="1" customFormat="1" ht="15.75" customHeight="1" spans="4:14">
      <c r="D810" s="2"/>
      <c r="K810" s="2"/>
      <c r="N810" s="11"/>
    </row>
    <row r="811" s="1" customFormat="1" ht="15.75" customHeight="1" spans="4:14">
      <c r="D811" s="2"/>
      <c r="K811" s="2"/>
      <c r="N811" s="11"/>
    </row>
    <row r="812" s="1" customFormat="1" ht="15.75" customHeight="1" spans="4:14">
      <c r="D812" s="2"/>
      <c r="K812" s="2"/>
      <c r="N812" s="11"/>
    </row>
    <row r="813" s="1" customFormat="1" ht="15.75" customHeight="1" spans="4:14">
      <c r="D813" s="2"/>
      <c r="K813" s="2"/>
      <c r="N813" s="11"/>
    </row>
    <row r="814" s="1" customFormat="1" ht="15.75" customHeight="1" spans="4:14">
      <c r="D814" s="2"/>
      <c r="K814" s="2"/>
      <c r="N814" s="11"/>
    </row>
    <row r="815" s="1" customFormat="1" ht="15.75" customHeight="1" spans="4:14">
      <c r="D815" s="2"/>
      <c r="K815" s="2"/>
      <c r="N815" s="11"/>
    </row>
    <row r="816" s="1" customFormat="1" ht="15.75" customHeight="1" spans="4:14">
      <c r="D816" s="2"/>
      <c r="K816" s="2"/>
      <c r="N816" s="11"/>
    </row>
    <row r="817" s="1" customFormat="1" ht="15.75" customHeight="1" spans="4:14">
      <c r="D817" s="2"/>
      <c r="K817" s="2"/>
      <c r="N817" s="11"/>
    </row>
    <row r="818" s="1" customFormat="1" ht="15.75" customHeight="1" spans="4:14">
      <c r="D818" s="2"/>
      <c r="K818" s="2"/>
      <c r="N818" s="11"/>
    </row>
    <row r="819" s="1" customFormat="1" ht="15.75" customHeight="1" spans="4:14">
      <c r="D819" s="2"/>
      <c r="K819" s="2"/>
      <c r="N819" s="11"/>
    </row>
    <row r="820" s="1" customFormat="1" ht="15.75" customHeight="1" spans="4:14">
      <c r="D820" s="2"/>
      <c r="K820" s="2"/>
      <c r="N820" s="11"/>
    </row>
    <row r="821" s="1" customFormat="1" ht="15.75" customHeight="1" spans="4:14">
      <c r="D821" s="2"/>
      <c r="K821" s="2"/>
      <c r="N821" s="11"/>
    </row>
    <row r="822" s="1" customFormat="1" ht="15.75" customHeight="1" spans="4:14">
      <c r="D822" s="2"/>
      <c r="K822" s="2"/>
      <c r="N822" s="11"/>
    </row>
    <row r="823" s="1" customFormat="1" ht="15.75" customHeight="1" spans="4:14">
      <c r="D823" s="2"/>
      <c r="K823" s="2"/>
      <c r="N823" s="11"/>
    </row>
    <row r="824" s="1" customFormat="1" ht="15.75" customHeight="1" spans="4:14">
      <c r="D824" s="2"/>
      <c r="K824" s="2"/>
      <c r="N824" s="11"/>
    </row>
    <row r="825" s="1" customFormat="1" ht="15.75" customHeight="1" spans="4:14">
      <c r="D825" s="2"/>
      <c r="K825" s="2"/>
      <c r="N825" s="11"/>
    </row>
    <row r="826" s="1" customFormat="1" ht="15.75" customHeight="1" spans="4:14">
      <c r="D826" s="2"/>
      <c r="K826" s="2"/>
      <c r="N826" s="11"/>
    </row>
    <row r="827" s="1" customFormat="1" ht="15.75" customHeight="1" spans="4:14">
      <c r="D827" s="2"/>
      <c r="K827" s="2"/>
      <c r="N827" s="11"/>
    </row>
    <row r="828" s="1" customFormat="1" ht="15.75" customHeight="1" spans="4:14">
      <c r="D828" s="2"/>
      <c r="K828" s="2"/>
      <c r="N828" s="11"/>
    </row>
    <row r="829" s="1" customFormat="1" ht="15.75" customHeight="1" spans="4:14">
      <c r="D829" s="2"/>
      <c r="K829" s="2"/>
      <c r="N829" s="11"/>
    </row>
    <row r="830" s="1" customFormat="1" ht="15.75" customHeight="1" spans="4:14">
      <c r="D830" s="2"/>
      <c r="K830" s="2"/>
      <c r="N830" s="11"/>
    </row>
    <row r="831" s="1" customFormat="1" ht="15.75" customHeight="1" spans="4:14">
      <c r="D831" s="2"/>
      <c r="K831" s="2"/>
      <c r="N831" s="11"/>
    </row>
    <row r="832" s="1" customFormat="1" ht="15.75" customHeight="1" spans="4:14">
      <c r="D832" s="2"/>
      <c r="K832" s="2"/>
      <c r="N832" s="11"/>
    </row>
    <row r="833" s="1" customFormat="1" ht="15.75" customHeight="1" spans="4:14">
      <c r="D833" s="2"/>
      <c r="K833" s="2"/>
      <c r="N833" s="11"/>
    </row>
    <row r="834" s="1" customFormat="1" ht="15.75" customHeight="1" spans="4:14">
      <c r="D834" s="2"/>
      <c r="K834" s="2"/>
      <c r="N834" s="11"/>
    </row>
    <row r="835" s="1" customFormat="1" ht="15.75" customHeight="1" spans="4:14">
      <c r="D835" s="2"/>
      <c r="K835" s="2"/>
      <c r="N835" s="11"/>
    </row>
    <row r="836" s="1" customFormat="1" ht="15.75" customHeight="1" spans="4:14">
      <c r="D836" s="2"/>
      <c r="K836" s="2"/>
      <c r="N836" s="11"/>
    </row>
    <row r="837" s="1" customFormat="1" ht="15.75" customHeight="1" spans="4:14">
      <c r="D837" s="2"/>
      <c r="K837" s="2"/>
      <c r="N837" s="11"/>
    </row>
    <row r="838" s="1" customFormat="1" ht="15.75" customHeight="1" spans="4:14">
      <c r="D838" s="2"/>
      <c r="K838" s="2"/>
      <c r="N838" s="11"/>
    </row>
    <row r="839" s="1" customFormat="1" ht="15.75" customHeight="1" spans="4:14">
      <c r="D839" s="2"/>
      <c r="K839" s="2"/>
      <c r="N839" s="11"/>
    </row>
    <row r="840" s="1" customFormat="1" ht="15.75" customHeight="1" spans="4:14">
      <c r="D840" s="2"/>
      <c r="K840" s="2"/>
      <c r="N840" s="11"/>
    </row>
    <row r="841" s="1" customFormat="1" ht="15.75" customHeight="1" spans="4:14">
      <c r="D841" s="2"/>
      <c r="K841" s="2"/>
      <c r="N841" s="11"/>
    </row>
    <row r="842" s="1" customFormat="1" ht="15.75" customHeight="1" spans="4:14">
      <c r="D842" s="2"/>
      <c r="K842" s="2"/>
      <c r="N842" s="11"/>
    </row>
    <row r="843" s="1" customFormat="1" ht="15.75" customHeight="1" spans="4:14">
      <c r="D843" s="2"/>
      <c r="K843" s="2"/>
      <c r="N843" s="11"/>
    </row>
    <row r="844" s="1" customFormat="1" ht="15.75" customHeight="1" spans="4:14">
      <c r="D844" s="2"/>
      <c r="K844" s="2"/>
      <c r="N844" s="11"/>
    </row>
    <row r="845" s="1" customFormat="1" ht="15.75" customHeight="1" spans="4:14">
      <c r="D845" s="2"/>
      <c r="K845" s="2"/>
      <c r="N845" s="11"/>
    </row>
    <row r="846" s="1" customFormat="1" ht="15.75" customHeight="1" spans="4:14">
      <c r="D846" s="2"/>
      <c r="K846" s="2"/>
      <c r="N846" s="11"/>
    </row>
    <row r="847" s="1" customFormat="1" ht="15.75" customHeight="1" spans="4:14">
      <c r="D847" s="2"/>
      <c r="K847" s="2"/>
      <c r="N847" s="11"/>
    </row>
    <row r="848" s="1" customFormat="1" ht="15.75" customHeight="1" spans="4:14">
      <c r="D848" s="2"/>
      <c r="K848" s="2"/>
      <c r="N848" s="11"/>
    </row>
    <row r="849" s="1" customFormat="1" ht="15.75" customHeight="1" spans="4:14">
      <c r="D849" s="2"/>
      <c r="K849" s="2"/>
      <c r="N849" s="11"/>
    </row>
    <row r="850" s="1" customFormat="1" ht="15.75" customHeight="1" spans="4:14">
      <c r="D850" s="2"/>
      <c r="K850" s="2"/>
      <c r="N850" s="11"/>
    </row>
    <row r="851" s="1" customFormat="1" ht="15.75" customHeight="1" spans="4:14">
      <c r="D851" s="2"/>
      <c r="K851" s="2"/>
      <c r="N851" s="11"/>
    </row>
    <row r="852" s="1" customFormat="1" ht="15.75" customHeight="1" spans="4:14">
      <c r="D852" s="2"/>
      <c r="K852" s="2"/>
      <c r="N852" s="11"/>
    </row>
    <row r="853" s="1" customFormat="1" ht="15.75" customHeight="1" spans="4:14">
      <c r="D853" s="2"/>
      <c r="K853" s="2"/>
      <c r="N853" s="11"/>
    </row>
    <row r="854" s="1" customFormat="1" ht="15.75" customHeight="1" spans="4:14">
      <c r="D854" s="2"/>
      <c r="K854" s="2"/>
      <c r="N854" s="11"/>
    </row>
    <row r="855" s="1" customFormat="1" ht="15.75" customHeight="1" spans="4:14">
      <c r="D855" s="2"/>
      <c r="K855" s="2"/>
      <c r="N855" s="11"/>
    </row>
    <row r="856" s="1" customFormat="1" ht="15.75" customHeight="1" spans="4:14">
      <c r="D856" s="2"/>
      <c r="K856" s="2"/>
      <c r="N856" s="11"/>
    </row>
    <row r="857" s="1" customFormat="1" ht="15.75" customHeight="1" spans="4:14">
      <c r="D857" s="2"/>
      <c r="K857" s="2"/>
      <c r="N857" s="11"/>
    </row>
    <row r="858" s="1" customFormat="1" ht="15.75" customHeight="1" spans="4:14">
      <c r="D858" s="2"/>
      <c r="K858" s="2"/>
      <c r="N858" s="11"/>
    </row>
    <row r="859" s="1" customFormat="1" ht="15.75" customHeight="1" spans="4:14">
      <c r="D859" s="2"/>
      <c r="K859" s="2"/>
      <c r="N859" s="11"/>
    </row>
    <row r="860" s="1" customFormat="1" ht="15.75" customHeight="1" spans="4:14">
      <c r="D860" s="2"/>
      <c r="K860" s="2"/>
      <c r="N860" s="11"/>
    </row>
    <row r="861" s="1" customFormat="1" ht="15.75" customHeight="1" spans="4:14">
      <c r="D861" s="2"/>
      <c r="K861" s="2"/>
      <c r="N861" s="11"/>
    </row>
    <row r="862" s="1" customFormat="1" ht="15.75" customHeight="1" spans="4:14">
      <c r="D862" s="2"/>
      <c r="K862" s="2"/>
      <c r="N862" s="11"/>
    </row>
    <row r="863" s="1" customFormat="1" ht="15.75" customHeight="1" spans="4:14">
      <c r="D863" s="2"/>
      <c r="K863" s="2"/>
      <c r="N863" s="11"/>
    </row>
    <row r="864" s="1" customFormat="1" ht="15.75" customHeight="1" spans="4:14">
      <c r="D864" s="2"/>
      <c r="K864" s="2"/>
      <c r="N864" s="11"/>
    </row>
    <row r="865" s="1" customFormat="1" ht="15.75" customHeight="1" spans="4:14">
      <c r="D865" s="2"/>
      <c r="K865" s="2"/>
      <c r="N865" s="11"/>
    </row>
    <row r="866" s="1" customFormat="1" ht="15.75" customHeight="1" spans="4:14">
      <c r="D866" s="2"/>
      <c r="K866" s="2"/>
      <c r="N866" s="11"/>
    </row>
    <row r="867" s="1" customFormat="1" ht="15.75" customHeight="1" spans="4:14">
      <c r="D867" s="2"/>
      <c r="K867" s="2"/>
      <c r="N867" s="11"/>
    </row>
    <row r="868" s="1" customFormat="1" ht="15.75" customHeight="1" spans="4:14">
      <c r="D868" s="2"/>
      <c r="K868" s="2"/>
      <c r="N868" s="11"/>
    </row>
    <row r="869" s="1" customFormat="1" ht="15.75" customHeight="1" spans="4:14">
      <c r="D869" s="2"/>
      <c r="K869" s="2"/>
      <c r="N869" s="11"/>
    </row>
    <row r="870" s="1" customFormat="1" ht="15.75" customHeight="1" spans="4:14">
      <c r="D870" s="2"/>
      <c r="K870" s="2"/>
      <c r="N870" s="11"/>
    </row>
    <row r="871" s="1" customFormat="1" ht="15.75" customHeight="1" spans="4:14">
      <c r="D871" s="2"/>
      <c r="K871" s="2"/>
      <c r="N871" s="11"/>
    </row>
    <row r="872" s="1" customFormat="1" ht="15.75" customHeight="1" spans="4:14">
      <c r="D872" s="2"/>
      <c r="K872" s="2"/>
      <c r="N872" s="11"/>
    </row>
    <row r="873" s="1" customFormat="1" ht="15.75" customHeight="1" spans="4:14">
      <c r="D873" s="2"/>
      <c r="K873" s="2"/>
      <c r="N873" s="11"/>
    </row>
    <row r="874" s="1" customFormat="1" ht="15.75" customHeight="1" spans="4:14">
      <c r="D874" s="2"/>
      <c r="K874" s="2"/>
      <c r="N874" s="11"/>
    </row>
    <row r="875" s="1" customFormat="1" ht="15.75" customHeight="1" spans="4:14">
      <c r="D875" s="2"/>
      <c r="K875" s="2"/>
      <c r="N875" s="11"/>
    </row>
    <row r="876" s="1" customFormat="1" ht="15.75" customHeight="1" spans="4:14">
      <c r="D876" s="2"/>
      <c r="K876" s="2"/>
      <c r="N876" s="11"/>
    </row>
    <row r="877" s="1" customFormat="1" ht="15.75" customHeight="1" spans="4:14">
      <c r="D877" s="2"/>
      <c r="K877" s="2"/>
      <c r="N877" s="11"/>
    </row>
    <row r="878" s="1" customFormat="1" ht="15.75" customHeight="1" spans="4:14">
      <c r="D878" s="2"/>
      <c r="K878" s="2"/>
      <c r="N878" s="11"/>
    </row>
    <row r="879" s="1" customFormat="1" ht="15.75" customHeight="1" spans="4:14">
      <c r="D879" s="2"/>
      <c r="K879" s="2"/>
      <c r="N879" s="11"/>
    </row>
    <row r="880" s="1" customFormat="1" ht="15.75" customHeight="1" spans="4:14">
      <c r="D880" s="2"/>
      <c r="K880" s="2"/>
      <c r="N880" s="11"/>
    </row>
    <row r="881" s="1" customFormat="1" ht="15.75" customHeight="1" spans="4:14">
      <c r="D881" s="2"/>
      <c r="K881" s="2"/>
      <c r="N881" s="11"/>
    </row>
    <row r="882" s="1" customFormat="1" ht="15.75" customHeight="1" spans="4:14">
      <c r="D882" s="2"/>
      <c r="K882" s="2"/>
      <c r="N882" s="11"/>
    </row>
    <row r="883" s="1" customFormat="1" ht="15.75" customHeight="1" spans="4:14">
      <c r="D883" s="2"/>
      <c r="K883" s="2"/>
      <c r="N883" s="11"/>
    </row>
    <row r="884" s="1" customFormat="1" ht="15.75" customHeight="1" spans="4:14">
      <c r="D884" s="2"/>
      <c r="K884" s="2"/>
      <c r="N884" s="11"/>
    </row>
    <row r="885" s="1" customFormat="1" ht="15.75" customHeight="1" spans="4:14">
      <c r="D885" s="2"/>
      <c r="K885" s="2"/>
      <c r="N885" s="11"/>
    </row>
    <row r="886" s="1" customFormat="1" ht="15.75" customHeight="1" spans="4:14">
      <c r="D886" s="2"/>
      <c r="K886" s="2"/>
      <c r="N886" s="11"/>
    </row>
    <row r="887" s="1" customFormat="1" ht="15.75" customHeight="1" spans="4:14">
      <c r="D887" s="2"/>
      <c r="K887" s="2"/>
      <c r="N887" s="11"/>
    </row>
    <row r="888" s="1" customFormat="1" ht="15.75" customHeight="1" spans="4:14">
      <c r="D888" s="2"/>
      <c r="K888" s="2"/>
      <c r="N888" s="11"/>
    </row>
    <row r="889" s="1" customFormat="1" ht="15.75" customHeight="1" spans="4:14">
      <c r="D889" s="2"/>
      <c r="K889" s="2"/>
      <c r="N889" s="11"/>
    </row>
    <row r="890" s="1" customFormat="1" ht="15.75" customHeight="1" spans="4:14">
      <c r="D890" s="2"/>
      <c r="K890" s="2"/>
      <c r="N890" s="11"/>
    </row>
    <row r="891" s="1" customFormat="1" ht="15.75" customHeight="1" spans="4:14">
      <c r="D891" s="2"/>
      <c r="K891" s="2"/>
      <c r="N891" s="11"/>
    </row>
    <row r="892" s="1" customFormat="1" ht="15.75" customHeight="1" spans="4:14">
      <c r="D892" s="2"/>
      <c r="K892" s="2"/>
      <c r="N892" s="11"/>
    </row>
    <row r="893" s="1" customFormat="1" ht="15.75" customHeight="1" spans="4:14">
      <c r="D893" s="2"/>
      <c r="K893" s="2"/>
      <c r="N893" s="11"/>
    </row>
    <row r="894" s="1" customFormat="1" ht="15.75" customHeight="1" spans="4:14">
      <c r="D894" s="2"/>
      <c r="K894" s="2"/>
      <c r="N894" s="11"/>
    </row>
    <row r="895" s="1" customFormat="1" ht="15.75" customHeight="1" spans="4:14">
      <c r="D895" s="2"/>
      <c r="K895" s="2"/>
      <c r="N895" s="11"/>
    </row>
    <row r="896" s="1" customFormat="1" ht="15.75" customHeight="1" spans="4:14">
      <c r="D896" s="2"/>
      <c r="K896" s="2"/>
      <c r="N896" s="11"/>
    </row>
    <row r="897" s="1" customFormat="1" ht="15.75" customHeight="1" spans="4:14">
      <c r="D897" s="2"/>
      <c r="K897" s="2"/>
      <c r="N897" s="11"/>
    </row>
    <row r="898" s="1" customFormat="1" ht="15.75" customHeight="1" spans="4:14">
      <c r="D898" s="2"/>
      <c r="K898" s="2"/>
      <c r="N898" s="11"/>
    </row>
    <row r="899" s="1" customFormat="1" ht="15.75" customHeight="1" spans="4:14">
      <c r="D899" s="2"/>
      <c r="K899" s="2"/>
      <c r="N899" s="11"/>
    </row>
    <row r="900" s="1" customFormat="1" ht="15.75" customHeight="1" spans="4:14">
      <c r="D900" s="2"/>
      <c r="K900" s="2"/>
      <c r="N900" s="11"/>
    </row>
    <row r="901" s="1" customFormat="1" ht="15.75" customHeight="1" spans="4:14">
      <c r="D901" s="2"/>
      <c r="K901" s="2"/>
      <c r="N901" s="11"/>
    </row>
    <row r="902" s="1" customFormat="1" ht="15.75" customHeight="1" spans="4:14">
      <c r="D902" s="2"/>
      <c r="K902" s="2"/>
      <c r="N902" s="11"/>
    </row>
    <row r="903" s="1" customFormat="1" ht="15.75" customHeight="1" spans="4:14">
      <c r="D903" s="2"/>
      <c r="K903" s="2"/>
      <c r="N903" s="11"/>
    </row>
    <row r="904" s="1" customFormat="1" ht="15.75" customHeight="1" spans="4:14">
      <c r="D904" s="2"/>
      <c r="K904" s="2"/>
      <c r="N904" s="11"/>
    </row>
    <row r="905" s="1" customFormat="1" ht="15.75" customHeight="1" spans="4:14">
      <c r="D905" s="2"/>
      <c r="K905" s="2"/>
      <c r="N905" s="11"/>
    </row>
    <row r="906" s="1" customFormat="1" ht="15.75" customHeight="1" spans="4:14">
      <c r="D906" s="2"/>
      <c r="K906" s="2"/>
      <c r="N906" s="11"/>
    </row>
    <row r="907" s="1" customFormat="1" ht="15.75" customHeight="1" spans="4:14">
      <c r="D907" s="2"/>
      <c r="K907" s="2"/>
      <c r="N907" s="11"/>
    </row>
    <row r="908" s="1" customFormat="1" ht="15.75" customHeight="1" spans="4:14">
      <c r="D908" s="2"/>
      <c r="K908" s="2"/>
      <c r="N908" s="11"/>
    </row>
    <row r="909" s="1" customFormat="1" ht="15.75" customHeight="1" spans="4:14">
      <c r="D909" s="2"/>
      <c r="K909" s="2"/>
      <c r="N909" s="11"/>
    </row>
    <row r="910" s="1" customFormat="1" ht="15.75" customHeight="1" spans="4:14">
      <c r="D910" s="2"/>
      <c r="K910" s="2"/>
      <c r="N910" s="11"/>
    </row>
    <row r="911" s="1" customFormat="1" ht="15.75" customHeight="1" spans="4:14">
      <c r="D911" s="2"/>
      <c r="K911" s="2"/>
      <c r="N911" s="11"/>
    </row>
    <row r="912" s="1" customFormat="1" ht="15.75" customHeight="1" spans="4:14">
      <c r="D912" s="2"/>
      <c r="K912" s="2"/>
      <c r="N912" s="11"/>
    </row>
    <row r="913" s="1" customFormat="1" ht="15.75" customHeight="1" spans="4:14">
      <c r="D913" s="2"/>
      <c r="K913" s="2"/>
      <c r="N913" s="11"/>
    </row>
    <row r="914" s="1" customFormat="1" ht="15.75" customHeight="1" spans="4:14">
      <c r="D914" s="2"/>
      <c r="K914" s="2"/>
      <c r="N914" s="11"/>
    </row>
    <row r="915" s="1" customFormat="1" ht="15.75" customHeight="1" spans="4:14">
      <c r="D915" s="2"/>
      <c r="K915" s="2"/>
      <c r="N915" s="11"/>
    </row>
    <row r="916" s="1" customFormat="1" ht="15.75" customHeight="1" spans="4:14">
      <c r="D916" s="2"/>
      <c r="K916" s="2"/>
      <c r="N916" s="11"/>
    </row>
    <row r="917" s="1" customFormat="1" ht="15.75" customHeight="1" spans="4:14">
      <c r="D917" s="2"/>
      <c r="K917" s="2"/>
      <c r="N917" s="11"/>
    </row>
    <row r="918" s="1" customFormat="1" ht="15.75" customHeight="1" spans="4:14">
      <c r="D918" s="2"/>
      <c r="K918" s="2"/>
      <c r="N918" s="11"/>
    </row>
    <row r="919" s="1" customFormat="1" ht="15.75" customHeight="1" spans="4:14">
      <c r="D919" s="2"/>
      <c r="K919" s="2"/>
      <c r="N919" s="11"/>
    </row>
    <row r="920" s="1" customFormat="1" ht="15.75" customHeight="1" spans="4:14">
      <c r="D920" s="2"/>
      <c r="K920" s="2"/>
      <c r="N920" s="11"/>
    </row>
    <row r="921" s="1" customFormat="1" ht="15.75" customHeight="1" spans="4:14">
      <c r="D921" s="2"/>
      <c r="K921" s="2"/>
      <c r="N921" s="11"/>
    </row>
    <row r="922" s="1" customFormat="1" ht="15.75" customHeight="1" spans="4:14">
      <c r="D922" s="2"/>
      <c r="K922" s="2"/>
      <c r="N922" s="11"/>
    </row>
    <row r="923" s="1" customFormat="1" ht="15.75" customHeight="1" spans="4:14">
      <c r="D923" s="2"/>
      <c r="K923" s="2"/>
      <c r="N923" s="11"/>
    </row>
    <row r="924" s="1" customFormat="1" ht="15.75" customHeight="1" spans="4:14">
      <c r="D924" s="2"/>
      <c r="K924" s="2"/>
      <c r="N924" s="11"/>
    </row>
    <row r="925" s="1" customFormat="1" ht="15.75" customHeight="1" spans="4:14">
      <c r="D925" s="2"/>
      <c r="K925" s="2"/>
      <c r="N925" s="11"/>
    </row>
    <row r="926" s="1" customFormat="1" ht="15.75" customHeight="1" spans="4:14">
      <c r="D926" s="2"/>
      <c r="K926" s="2"/>
      <c r="N926" s="11"/>
    </row>
    <row r="927" s="1" customFormat="1" ht="15.75" customHeight="1" spans="4:14">
      <c r="D927" s="2"/>
      <c r="K927" s="2"/>
      <c r="N927" s="11"/>
    </row>
    <row r="928" s="1" customFormat="1" ht="15.75" customHeight="1" spans="4:14">
      <c r="D928" s="2"/>
      <c r="K928" s="2"/>
      <c r="N928" s="11"/>
    </row>
    <row r="929" s="1" customFormat="1" ht="15.75" customHeight="1" spans="4:14">
      <c r="D929" s="2"/>
      <c r="K929" s="2"/>
      <c r="N929" s="11"/>
    </row>
    <row r="930" s="1" customFormat="1" ht="15.75" customHeight="1" spans="4:14">
      <c r="D930" s="2"/>
      <c r="K930" s="2"/>
      <c r="N930" s="11"/>
    </row>
    <row r="931" s="1" customFormat="1" ht="15.75" customHeight="1" spans="4:14">
      <c r="D931" s="2"/>
      <c r="K931" s="2"/>
      <c r="N931" s="11"/>
    </row>
    <row r="932" s="1" customFormat="1" ht="15.75" customHeight="1" spans="4:14">
      <c r="D932" s="2"/>
      <c r="K932" s="2"/>
      <c r="N932" s="11"/>
    </row>
    <row r="933" s="1" customFormat="1" ht="15.75" customHeight="1" spans="4:14">
      <c r="D933" s="2"/>
      <c r="K933" s="2"/>
      <c r="N933" s="11"/>
    </row>
    <row r="934" s="1" customFormat="1" ht="15.75" customHeight="1" spans="4:14">
      <c r="D934" s="2"/>
      <c r="K934" s="2"/>
      <c r="N934" s="11"/>
    </row>
    <row r="935" s="1" customFormat="1" ht="15.75" customHeight="1" spans="4:14">
      <c r="D935" s="2"/>
      <c r="K935" s="2"/>
      <c r="N935" s="11"/>
    </row>
    <row r="936" s="1" customFormat="1" ht="15.75" customHeight="1" spans="4:14">
      <c r="D936" s="2"/>
      <c r="K936" s="2"/>
      <c r="N936" s="11"/>
    </row>
    <row r="937" s="1" customFormat="1" ht="15.75" customHeight="1" spans="4:14">
      <c r="D937" s="2"/>
      <c r="K937" s="2"/>
      <c r="N937" s="11"/>
    </row>
    <row r="938" s="1" customFormat="1" ht="15.75" customHeight="1" spans="4:14">
      <c r="D938" s="2"/>
      <c r="K938" s="2"/>
      <c r="N938" s="11"/>
    </row>
    <row r="939" s="1" customFormat="1" ht="15.75" customHeight="1" spans="4:14">
      <c r="D939" s="2"/>
      <c r="K939" s="2"/>
      <c r="N939" s="11"/>
    </row>
    <row r="940" s="1" customFormat="1" ht="15.75" customHeight="1" spans="4:14">
      <c r="D940" s="2"/>
      <c r="K940" s="2"/>
      <c r="N940" s="11"/>
    </row>
    <row r="941" s="1" customFormat="1" ht="15.75" customHeight="1" spans="4:14">
      <c r="D941" s="2"/>
      <c r="K941" s="2"/>
      <c r="N941" s="11"/>
    </row>
    <row r="942" s="1" customFormat="1" ht="15.75" customHeight="1" spans="4:14">
      <c r="D942" s="2"/>
      <c r="K942" s="2"/>
      <c r="N942" s="11"/>
    </row>
    <row r="943" s="1" customFormat="1" ht="15.75" customHeight="1" spans="4:14">
      <c r="D943" s="2"/>
      <c r="K943" s="2"/>
      <c r="N943" s="11"/>
    </row>
    <row r="944" s="1" customFormat="1" ht="15.75" customHeight="1" spans="4:14">
      <c r="D944" s="2"/>
      <c r="K944" s="2"/>
      <c r="N944" s="11"/>
    </row>
    <row r="945" s="1" customFormat="1" ht="15.75" customHeight="1" spans="4:14">
      <c r="D945" s="2"/>
      <c r="K945" s="2"/>
      <c r="N945" s="11"/>
    </row>
    <row r="946" s="1" customFormat="1" ht="15.75" customHeight="1" spans="4:14">
      <c r="D946" s="2"/>
      <c r="K946" s="2"/>
      <c r="N946" s="11"/>
    </row>
    <row r="947" s="1" customFormat="1" ht="15.75" customHeight="1" spans="4:14">
      <c r="D947" s="2"/>
      <c r="K947" s="2"/>
      <c r="N947" s="11"/>
    </row>
    <row r="948" s="1" customFormat="1" ht="15.75" customHeight="1" spans="4:14">
      <c r="D948" s="2"/>
      <c r="K948" s="2"/>
      <c r="N948" s="11"/>
    </row>
    <row r="949" s="1" customFormat="1" ht="15.75" customHeight="1" spans="4:14">
      <c r="D949" s="2"/>
      <c r="K949" s="2"/>
      <c r="N949" s="11"/>
    </row>
    <row r="950" s="1" customFormat="1" ht="15.75" customHeight="1" spans="4:14">
      <c r="D950" s="2"/>
      <c r="K950" s="2"/>
      <c r="N950" s="11"/>
    </row>
    <row r="951" s="1" customFormat="1" ht="15.75" customHeight="1" spans="4:14">
      <c r="D951" s="2"/>
      <c r="K951" s="2"/>
      <c r="N951" s="11"/>
    </row>
    <row r="952" s="1" customFormat="1" ht="15.75" customHeight="1" spans="4:14">
      <c r="D952" s="2"/>
      <c r="K952" s="2"/>
      <c r="N952" s="11"/>
    </row>
    <row r="953" s="1" customFormat="1" ht="15.75" customHeight="1" spans="4:14">
      <c r="D953" s="2"/>
      <c r="K953" s="2"/>
      <c r="N953" s="11"/>
    </row>
    <row r="954" s="1" customFormat="1" ht="15.75" customHeight="1" spans="4:14">
      <c r="D954" s="2"/>
      <c r="K954" s="2"/>
      <c r="N954" s="11"/>
    </row>
    <row r="955" s="1" customFormat="1" ht="15.75" customHeight="1" spans="4:14">
      <c r="D955" s="2"/>
      <c r="K955" s="2"/>
      <c r="N955" s="11"/>
    </row>
    <row r="956" s="1" customFormat="1" ht="15.75" customHeight="1" spans="4:14">
      <c r="D956" s="2"/>
      <c r="K956" s="2"/>
      <c r="N956" s="11"/>
    </row>
    <row r="957" s="1" customFormat="1" ht="15.75" customHeight="1" spans="4:14">
      <c r="D957" s="2"/>
      <c r="K957" s="2"/>
      <c r="N957" s="11"/>
    </row>
    <row r="958" s="1" customFormat="1" ht="15.75" customHeight="1" spans="4:14">
      <c r="D958" s="2"/>
      <c r="K958" s="2"/>
      <c r="N958" s="11"/>
    </row>
    <row r="959" s="1" customFormat="1" ht="15.75" customHeight="1" spans="4:14">
      <c r="D959" s="2"/>
      <c r="K959" s="2"/>
      <c r="N959" s="11"/>
    </row>
    <row r="960" s="1" customFormat="1" ht="15.75" customHeight="1" spans="4:14">
      <c r="D960" s="2"/>
      <c r="K960" s="2"/>
      <c r="N960" s="11"/>
    </row>
    <row r="961" s="1" customFormat="1" ht="15.75" customHeight="1" spans="4:14">
      <c r="D961" s="2"/>
      <c r="K961" s="2"/>
      <c r="N961" s="11"/>
    </row>
    <row r="962" s="1" customFormat="1" ht="15.75" customHeight="1" spans="4:14">
      <c r="D962" s="2"/>
      <c r="K962" s="2"/>
      <c r="N962" s="11"/>
    </row>
    <row r="963" s="1" customFormat="1" ht="15.75" customHeight="1" spans="4:14">
      <c r="D963" s="2"/>
      <c r="K963" s="2"/>
      <c r="N963" s="11"/>
    </row>
    <row r="964" s="1" customFormat="1" ht="15.75" customHeight="1" spans="4:14">
      <c r="D964" s="2"/>
      <c r="K964" s="2"/>
      <c r="N964" s="11"/>
    </row>
    <row r="965" s="1" customFormat="1" ht="15.75" customHeight="1" spans="4:14">
      <c r="D965" s="2"/>
      <c r="K965" s="2"/>
      <c r="N965" s="11"/>
    </row>
    <row r="966" s="1" customFormat="1" ht="15.75" customHeight="1" spans="4:14">
      <c r="D966" s="2"/>
      <c r="K966" s="2"/>
      <c r="N966" s="11"/>
    </row>
    <row r="967" s="1" customFormat="1" ht="15.75" customHeight="1" spans="4:14">
      <c r="D967" s="2"/>
      <c r="K967" s="2"/>
      <c r="N967" s="11"/>
    </row>
    <row r="968" s="1" customFormat="1" ht="15.75" customHeight="1" spans="4:14">
      <c r="D968" s="2"/>
      <c r="K968" s="2"/>
      <c r="N968" s="11"/>
    </row>
    <row r="969" s="1" customFormat="1" ht="15.75" customHeight="1" spans="4:14">
      <c r="D969" s="2"/>
      <c r="K969" s="2"/>
      <c r="N969" s="11"/>
    </row>
    <row r="970" s="1" customFormat="1" ht="15.75" customHeight="1" spans="4:14">
      <c r="D970" s="2"/>
      <c r="K970" s="2"/>
      <c r="N970" s="11"/>
    </row>
    <row r="971" s="1" customFormat="1" ht="15.75" customHeight="1" spans="4:14">
      <c r="D971" s="2"/>
      <c r="K971" s="2"/>
      <c r="N971" s="11"/>
    </row>
    <row r="972" s="1" customFormat="1" ht="15.75" customHeight="1" spans="4:14">
      <c r="D972" s="2"/>
      <c r="K972" s="2"/>
      <c r="N972" s="11"/>
    </row>
    <row r="973" s="1" customFormat="1" ht="15.75" customHeight="1" spans="4:14">
      <c r="D973" s="2"/>
      <c r="K973" s="2"/>
      <c r="N973" s="11"/>
    </row>
    <row r="974" s="1" customFormat="1" ht="15.75" customHeight="1" spans="4:14">
      <c r="D974" s="2"/>
      <c r="K974" s="2"/>
      <c r="N974" s="11"/>
    </row>
    <row r="975" s="1" customFormat="1" ht="15.75" customHeight="1" spans="4:14">
      <c r="D975" s="2"/>
      <c r="K975" s="2"/>
      <c r="N975" s="11"/>
    </row>
    <row r="976" s="1" customFormat="1" ht="15.75" customHeight="1" spans="4:14">
      <c r="D976" s="2"/>
      <c r="K976" s="2"/>
      <c r="N976" s="11"/>
    </row>
    <row r="977" s="1" customFormat="1" ht="15.75" customHeight="1" spans="4:14">
      <c r="D977" s="2"/>
      <c r="K977" s="2"/>
      <c r="N977" s="11"/>
    </row>
    <row r="978" s="1" customFormat="1" ht="15.75" customHeight="1" spans="4:14">
      <c r="D978" s="2"/>
      <c r="K978" s="2"/>
      <c r="N978" s="11"/>
    </row>
    <row r="979" s="1" customFormat="1" ht="15.75" customHeight="1" spans="4:14">
      <c r="D979" s="2"/>
      <c r="K979" s="2"/>
      <c r="N979" s="11"/>
    </row>
    <row r="980" s="1" customFormat="1" ht="15.75" customHeight="1" spans="4:14">
      <c r="D980" s="2"/>
      <c r="K980" s="2"/>
      <c r="N980" s="11"/>
    </row>
    <row r="981" s="1" customFormat="1" ht="15.75" customHeight="1" spans="4:14">
      <c r="D981" s="2"/>
      <c r="K981" s="2"/>
      <c r="N981" s="11"/>
    </row>
    <row r="982" s="1" customFormat="1" ht="15.75" customHeight="1" spans="4:14">
      <c r="D982" s="2"/>
      <c r="K982" s="2"/>
      <c r="N982" s="11"/>
    </row>
    <row r="983" s="1" customFormat="1" ht="15.75" customHeight="1" spans="4:14">
      <c r="D983" s="2"/>
      <c r="K983" s="2"/>
      <c r="N983" s="11"/>
    </row>
    <row r="984" s="1" customFormat="1" ht="15.75" customHeight="1" spans="4:14">
      <c r="D984" s="2"/>
      <c r="K984" s="2"/>
      <c r="N984" s="11"/>
    </row>
    <row r="985" s="1" customFormat="1" ht="15.75" customHeight="1" spans="4:14">
      <c r="D985" s="2"/>
      <c r="K985" s="2"/>
      <c r="N985" s="11"/>
    </row>
    <row r="986" s="1" customFormat="1" ht="15.75" customHeight="1" spans="4:14">
      <c r="D986" s="2"/>
      <c r="K986" s="2"/>
      <c r="N986" s="11"/>
    </row>
    <row r="987" s="1" customFormat="1" ht="15.75" customHeight="1" spans="4:14">
      <c r="D987" s="2"/>
      <c r="K987" s="2"/>
      <c r="N987" s="11"/>
    </row>
    <row r="988" s="1" customFormat="1" ht="15.75" customHeight="1" spans="4:14">
      <c r="D988" s="2"/>
      <c r="K988" s="2"/>
      <c r="N988" s="11"/>
    </row>
    <row r="989" s="1" customFormat="1" ht="15.75" customHeight="1" spans="4:14">
      <c r="D989" s="2"/>
      <c r="K989" s="2"/>
      <c r="N989" s="11"/>
    </row>
    <row r="990" s="1" customFormat="1" ht="15.75" customHeight="1" spans="4:14">
      <c r="D990" s="2"/>
      <c r="K990" s="2"/>
      <c r="N990" s="11"/>
    </row>
    <row r="991" s="1" customFormat="1" ht="15.75" customHeight="1" spans="4:14">
      <c r="D991" s="2"/>
      <c r="K991" s="2"/>
      <c r="N991" s="11"/>
    </row>
    <row r="992" s="1" customFormat="1" ht="15.75" customHeight="1" spans="4:14">
      <c r="D992" s="2"/>
      <c r="K992" s="2"/>
      <c r="N992" s="11"/>
    </row>
    <row r="993" s="1" customFormat="1" ht="15.75" customHeight="1" spans="4:14">
      <c r="D993" s="2"/>
      <c r="K993" s="2"/>
      <c r="N993" s="11"/>
    </row>
    <row r="994" s="1" customFormat="1" ht="15.75" customHeight="1" spans="4:14">
      <c r="D994" s="2"/>
      <c r="K994" s="2"/>
      <c r="N994" s="11"/>
    </row>
    <row r="995" s="1" customFormat="1" ht="15.75" customHeight="1" spans="4:14">
      <c r="D995" s="2"/>
      <c r="K995" s="2"/>
      <c r="N995" s="11"/>
    </row>
    <row r="996" s="1" customFormat="1" ht="15.75" customHeight="1" spans="4:14">
      <c r="D996" s="2"/>
      <c r="K996" s="2"/>
      <c r="N996" s="11"/>
    </row>
    <row r="997" s="1" customFormat="1" ht="15.75" customHeight="1" spans="4:14">
      <c r="D997" s="2"/>
      <c r="K997" s="2"/>
      <c r="N997" s="11"/>
    </row>
    <row r="998" s="1" customFormat="1" ht="15.75" customHeight="1" spans="4:14">
      <c r="D998" s="2"/>
      <c r="K998" s="2"/>
      <c r="N998" s="11"/>
    </row>
    <row r="999" s="1" customFormat="1" ht="15.75" customHeight="1" spans="4:14">
      <c r="D999" s="2"/>
      <c r="K999" s="2"/>
      <c r="N999" s="11"/>
    </row>
    <row r="1000" s="1" customFormat="1" ht="15.75" customHeight="1" spans="4:14">
      <c r="D1000" s="2"/>
      <c r="K1000" s="2"/>
      <c r="N1000" s="11"/>
    </row>
  </sheetData>
  <conditionalFormatting sqref="P2">
    <cfRule type="containsText" priority="11" operator="between" text="Electronics">
      <formula>NOT(ISERROR(SEARCH("Electronics",P2)))</formula>
    </cfRule>
  </conditionalFormatting>
  <conditionalFormatting sqref="K$1:K$104857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{b13d0636-9781-488b-be2a-9eb1bfa5a326}</x14:id>
        </ext>
      </extLst>
    </cfRule>
  </conditionalFormatting>
  <conditionalFormatting sqref="P2:P33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{0db6616c-faef-4ece-a0ba-2f60ad326ef9}</x14:id>
        </ext>
      </extLst>
    </cfRule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{18a6fe1c-806a-48f5-8541-71ccf2327812}</x14:id>
        </ext>
      </extLst>
    </cfRule>
    <cfRule type="containsText" priority="5" operator="between" text="Electronics">
      <formula>NOT(ISERROR(SEARCH("Electronics",P2)))</formula>
    </cfRule>
  </conditionalFormatting>
  <conditionalFormatting sqref="P2:P1048576">
    <cfRule type="containsText" dxfId="23" priority="2" operator="between" text="Electronics">
      <formula>NOT(ISERROR(SEARCH("Electronics",P2)))</formula>
    </cfRule>
    <cfRule type="beginsWith" priority="3" operator="equal" text="Electronics">
      <formula>LEFT(P2,LEN("Electronics"))="Electronics"</formula>
    </cfRule>
    <cfRule type="cellIs" dxfId="24" priority="4" operator="between">
      <formula>$P$2+$P$15:$P$33</formula>
      <formula>"Electronics"</formula>
    </cfRule>
    <cfRule type="dataBar" priority="7">
      <dataBar>
        <cfvo type="formula" val="$P$2=&quot;Electronics&quot;"/>
        <cfvo type="max"/>
        <color theme="6" tint="-0.25"/>
      </dataBar>
      <extLst>
        <ext xmlns:x14="http://schemas.microsoft.com/office/spreadsheetml/2009/9/main" uri="{B025F937-C7B1-47D3-B67F-A62EFF666E3E}">
          <x14:id>{51d473a3-ad82-413d-a7d2-b04ab8b7453e}</x14:id>
        </ext>
      </extLst>
    </cfRule>
  </conditionalFormatting>
  <pageMargins left="0.75" right="0.75" top="1" bottom="1" header="0.5" footer="0.5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13d0636-9781-488b-be2a-9eb1bfa5a3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K$1:K$1048576</xm:sqref>
        </x14:conditionalFormatting>
        <x14:conditionalFormatting xmlns:xm="http://schemas.microsoft.com/office/excel/2006/main">
          <x14:cfRule type="dataBar" id="{0db6616c-faef-4ece-a0ba-2f60ad326e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8a6fe1c-806a-48f5-8541-71ccf23278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P2:P33</xm:sqref>
        </x14:conditionalFormatting>
        <x14:conditionalFormatting xmlns:xm="http://schemas.microsoft.com/office/excel/2006/main">
          <x14:cfRule type="dataBar" id="{51d473a3-ad82-413d-a7d2-b04ab8b7453e}">
            <x14:dataBar minLength="0" maxLength="100" gradient="0">
              <x14:cfvo type="formula">
                <xm:f>$P$2="Electronics"</xm:f>
              </x14:cfvo>
              <x14:cfvo type="autoMax"/>
              <x14:negativeFillColor rgb="FFFF0000"/>
              <x14:axisColor rgb="FF000000"/>
            </x14:dataBar>
          </x14:cfRule>
          <xm:sqref>P2:P1048576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0"/>
  <sheetViews>
    <sheetView tabSelected="1" workbookViewId="0">
      <selection activeCell="A2" sqref="A2"/>
    </sheetView>
  </sheetViews>
  <sheetFormatPr defaultColWidth="12.6285714285714" defaultRowHeight="15" customHeight="1" outlineLevelCol="7"/>
  <cols>
    <col min="1" max="1" width="12.6285714285714" style="1"/>
    <col min="2" max="3" width="14.1333333333333" style="1" customWidth="1"/>
    <col min="4" max="4" width="12.6285714285714" style="1"/>
    <col min="5" max="5" width="12.6285714285714" style="2"/>
    <col min="6" max="7" width="12.6285714285714" style="1"/>
    <col min="8" max="8" width="23.2857142857143" style="1" customWidth="1"/>
    <col min="9" max="16384" width="12.6285714285714" style="1"/>
  </cols>
  <sheetData>
    <row r="1" ht="15.75" customHeight="1" spans="1:8">
      <c r="A1" s="3" t="s">
        <v>0</v>
      </c>
      <c r="B1" s="3" t="s">
        <v>99</v>
      </c>
      <c r="C1" s="3" t="s">
        <v>1</v>
      </c>
      <c r="D1" s="3" t="s">
        <v>2</v>
      </c>
      <c r="E1" s="4" t="s">
        <v>3</v>
      </c>
      <c r="F1" s="3" t="s">
        <v>4</v>
      </c>
      <c r="G1" s="3" t="s">
        <v>5</v>
      </c>
      <c r="H1" s="3" t="s">
        <v>101</v>
      </c>
    </row>
    <row r="2" ht="15.75" customHeight="1" spans="1:8">
      <c r="A2" s="5" t="s">
        <v>109</v>
      </c>
      <c r="B2" s="5" t="s">
        <v>110</v>
      </c>
      <c r="C2" s="5" t="s">
        <v>7</v>
      </c>
      <c r="D2" s="5" t="s">
        <v>8</v>
      </c>
      <c r="E2" s="6">
        <v>1000</v>
      </c>
      <c r="F2" s="5">
        <v>30</v>
      </c>
      <c r="G2" s="5" t="s">
        <v>9</v>
      </c>
      <c r="H2" s="5" t="str">
        <f t="shared" ref="H2:H33" si="0">CONCATENATE(C2," ",D2)</f>
        <v>Laptop Dell</v>
      </c>
    </row>
    <row r="3" ht="15.75" customHeight="1" spans="1:8">
      <c r="A3" s="7" t="s">
        <v>111</v>
      </c>
      <c r="B3" s="7" t="s">
        <v>110</v>
      </c>
      <c r="C3" s="7" t="s">
        <v>11</v>
      </c>
      <c r="D3" s="7" t="s">
        <v>12</v>
      </c>
      <c r="E3" s="8">
        <v>80</v>
      </c>
      <c r="F3" s="7">
        <v>15</v>
      </c>
      <c r="G3" s="7" t="s">
        <v>13</v>
      </c>
      <c r="H3" s="7" t="str">
        <f t="shared" si="0"/>
        <v>Sneakers Nike</v>
      </c>
    </row>
    <row r="4" ht="15.75" customHeight="1" spans="1:8">
      <c r="A4" s="5" t="s">
        <v>112</v>
      </c>
      <c r="B4" s="5" t="s">
        <v>110</v>
      </c>
      <c r="C4" s="5" t="s">
        <v>15</v>
      </c>
      <c r="D4" s="5" t="s">
        <v>16</v>
      </c>
      <c r="E4" s="6">
        <v>130</v>
      </c>
      <c r="F4" s="5">
        <v>40</v>
      </c>
      <c r="G4" s="5" t="s">
        <v>17</v>
      </c>
      <c r="H4" s="5" t="str">
        <f t="shared" si="0"/>
        <v>Coffee Maker Keurig</v>
      </c>
    </row>
    <row r="5" ht="15.75" customHeight="1" spans="1:8">
      <c r="A5" s="7" t="s">
        <v>113</v>
      </c>
      <c r="B5" s="7" t="s">
        <v>110</v>
      </c>
      <c r="C5" s="7" t="s">
        <v>19</v>
      </c>
      <c r="D5" s="7" t="s">
        <v>20</v>
      </c>
      <c r="E5" s="8">
        <v>900</v>
      </c>
      <c r="F5" s="7">
        <v>25</v>
      </c>
      <c r="G5" s="7" t="s">
        <v>9</v>
      </c>
      <c r="H5" s="7" t="str">
        <f t="shared" si="0"/>
        <v>Smartphone Samsung</v>
      </c>
    </row>
    <row r="6" ht="15.75" customHeight="1" spans="1:8">
      <c r="A6" s="5" t="s">
        <v>114</v>
      </c>
      <c r="B6" s="5" t="s">
        <v>110</v>
      </c>
      <c r="C6" s="5" t="s">
        <v>22</v>
      </c>
      <c r="D6" s="5" t="s">
        <v>23</v>
      </c>
      <c r="E6" s="6">
        <v>70</v>
      </c>
      <c r="F6" s="5">
        <v>20</v>
      </c>
      <c r="G6" s="5" t="s">
        <v>24</v>
      </c>
      <c r="H6" s="5" t="str">
        <f t="shared" si="0"/>
        <v>Backpack North Face</v>
      </c>
    </row>
    <row r="7" ht="15.75" customHeight="1" spans="1:8">
      <c r="A7" s="7" t="s">
        <v>115</v>
      </c>
      <c r="B7" s="7" t="s">
        <v>116</v>
      </c>
      <c r="C7" s="7" t="s">
        <v>26</v>
      </c>
      <c r="D7" s="7" t="s">
        <v>27</v>
      </c>
      <c r="E7" s="8">
        <v>200</v>
      </c>
      <c r="F7" s="7">
        <v>45</v>
      </c>
      <c r="G7" s="7" t="s">
        <v>9</v>
      </c>
      <c r="H7" s="7" t="str">
        <f t="shared" si="0"/>
        <v>Headphones Sony</v>
      </c>
    </row>
    <row r="8" ht="15.75" customHeight="1" spans="1:8">
      <c r="A8" s="5" t="s">
        <v>117</v>
      </c>
      <c r="B8" s="5" t="s">
        <v>116</v>
      </c>
      <c r="C8" s="5" t="s">
        <v>118</v>
      </c>
      <c r="D8" s="5" t="s">
        <v>30</v>
      </c>
      <c r="E8" s="6">
        <v>30</v>
      </c>
      <c r="F8" s="5">
        <v>5</v>
      </c>
      <c r="G8" s="5" t="s">
        <v>13</v>
      </c>
      <c r="H8" s="5" t="str">
        <f t="shared" si="0"/>
        <v>T-Shirt Adidas</v>
      </c>
    </row>
    <row r="9" ht="15.75" customHeight="1" spans="1:8">
      <c r="A9" s="7" t="s">
        <v>119</v>
      </c>
      <c r="B9" s="7" t="s">
        <v>116</v>
      </c>
      <c r="C9" s="7" t="s">
        <v>32</v>
      </c>
      <c r="D9" s="7" t="s">
        <v>33</v>
      </c>
      <c r="E9" s="8">
        <v>90</v>
      </c>
      <c r="F9" s="7">
        <v>35</v>
      </c>
      <c r="G9" s="7" t="s">
        <v>17</v>
      </c>
      <c r="H9" s="7" t="str">
        <f t="shared" si="0"/>
        <v>Blender Ninja</v>
      </c>
    </row>
    <row r="10" ht="15.75" customHeight="1" spans="1:8">
      <c r="A10" s="5" t="s">
        <v>120</v>
      </c>
      <c r="B10" s="5" t="s">
        <v>116</v>
      </c>
      <c r="C10" s="5" t="s">
        <v>35</v>
      </c>
      <c r="D10" s="5" t="s">
        <v>36</v>
      </c>
      <c r="E10" s="6">
        <v>500</v>
      </c>
      <c r="F10" s="5">
        <v>50</v>
      </c>
      <c r="G10" s="5" t="s">
        <v>9</v>
      </c>
      <c r="H10" s="5" t="str">
        <f t="shared" si="0"/>
        <v>Tablet Apple</v>
      </c>
    </row>
    <row r="11" ht="15.75" customHeight="1" spans="1:8">
      <c r="A11" s="7" t="s">
        <v>121</v>
      </c>
      <c r="B11" s="7" t="s">
        <v>116</v>
      </c>
      <c r="C11" s="7" t="s">
        <v>38</v>
      </c>
      <c r="D11" s="7" t="s">
        <v>39</v>
      </c>
      <c r="E11" s="8">
        <v>130</v>
      </c>
      <c r="F11" s="7">
        <v>10</v>
      </c>
      <c r="G11" s="7" t="s">
        <v>24</v>
      </c>
      <c r="H11" s="7" t="str">
        <f t="shared" si="0"/>
        <v>Hiking Boots Timberland</v>
      </c>
    </row>
    <row r="12" ht="15.75" customHeight="1" spans="1:8">
      <c r="A12" s="5" t="s">
        <v>122</v>
      </c>
      <c r="B12" s="5" t="s">
        <v>123</v>
      </c>
      <c r="C12" s="5" t="s">
        <v>7</v>
      </c>
      <c r="D12" s="5" t="s">
        <v>124</v>
      </c>
      <c r="E12" s="6">
        <v>950</v>
      </c>
      <c r="F12" s="5">
        <v>25</v>
      </c>
      <c r="G12" s="5" t="s">
        <v>9</v>
      </c>
      <c r="H12" s="5" t="str">
        <f t="shared" si="0"/>
        <v>Laptop Hp</v>
      </c>
    </row>
    <row r="13" ht="15.75" customHeight="1" spans="1:8">
      <c r="A13" s="7" t="s">
        <v>125</v>
      </c>
      <c r="B13" s="7" t="s">
        <v>126</v>
      </c>
      <c r="C13" s="7" t="s">
        <v>11</v>
      </c>
      <c r="D13" s="7" t="s">
        <v>30</v>
      </c>
      <c r="E13" s="8">
        <v>90</v>
      </c>
      <c r="F13" s="7">
        <v>40</v>
      </c>
      <c r="G13" s="7" t="s">
        <v>13</v>
      </c>
      <c r="H13" s="7" t="str">
        <f t="shared" si="0"/>
        <v>Sneakers Adidas</v>
      </c>
    </row>
    <row r="14" ht="15.75" customHeight="1" spans="1:8">
      <c r="A14" s="5" t="s">
        <v>127</v>
      </c>
      <c r="B14" s="5" t="s">
        <v>128</v>
      </c>
      <c r="C14" s="5" t="s">
        <v>15</v>
      </c>
      <c r="D14" s="5" t="s">
        <v>44</v>
      </c>
      <c r="E14" s="6">
        <v>120</v>
      </c>
      <c r="F14" s="5">
        <v>35</v>
      </c>
      <c r="G14" s="5" t="s">
        <v>17</v>
      </c>
      <c r="H14" s="5" t="str">
        <f t="shared" si="0"/>
        <v>Coffee Maker Nespresso</v>
      </c>
    </row>
    <row r="15" ht="15.75" customHeight="1" spans="1:8">
      <c r="A15" s="7" t="s">
        <v>129</v>
      </c>
      <c r="B15" s="7" t="s">
        <v>130</v>
      </c>
      <c r="C15" s="7" t="s">
        <v>46</v>
      </c>
      <c r="D15" s="7" t="s">
        <v>47</v>
      </c>
      <c r="E15" s="8">
        <v>150</v>
      </c>
      <c r="F15" s="7">
        <v>15</v>
      </c>
      <c r="G15" s="7" t="s">
        <v>9</v>
      </c>
      <c r="H15" s="7" t="str">
        <f t="shared" si="0"/>
        <v>Smartwatch Fitbit</v>
      </c>
    </row>
    <row r="16" ht="15.75" customHeight="1" spans="1:8">
      <c r="A16" s="5" t="s">
        <v>131</v>
      </c>
      <c r="B16" s="5" t="s">
        <v>132</v>
      </c>
      <c r="C16" s="5" t="s">
        <v>26</v>
      </c>
      <c r="D16" s="5" t="s">
        <v>49</v>
      </c>
      <c r="E16" s="6">
        <v>250</v>
      </c>
      <c r="F16" s="5">
        <v>20</v>
      </c>
      <c r="G16" s="5" t="s">
        <v>9</v>
      </c>
      <c r="H16" s="5" t="str">
        <f t="shared" si="0"/>
        <v>Headphones Bose</v>
      </c>
    </row>
    <row r="17" ht="15.75" customHeight="1" spans="1:8">
      <c r="A17" s="7" t="s">
        <v>133</v>
      </c>
      <c r="B17" s="7" t="s">
        <v>130</v>
      </c>
      <c r="C17" s="7" t="s">
        <v>51</v>
      </c>
      <c r="D17" s="7" t="s">
        <v>52</v>
      </c>
      <c r="E17" s="8">
        <v>50</v>
      </c>
      <c r="F17" s="7">
        <v>35</v>
      </c>
      <c r="G17" s="7" t="s">
        <v>53</v>
      </c>
      <c r="H17" s="7" t="str">
        <f t="shared" si="0"/>
        <v>Laptop Bag Samsonite</v>
      </c>
    </row>
    <row r="18" ht="15.75" customHeight="1" spans="1:8">
      <c r="A18" s="5" t="s">
        <v>134</v>
      </c>
      <c r="B18" s="5" t="s">
        <v>135</v>
      </c>
      <c r="C18" s="5" t="s">
        <v>46</v>
      </c>
      <c r="D18" s="5" t="s">
        <v>55</v>
      </c>
      <c r="E18" s="6">
        <v>160</v>
      </c>
      <c r="F18" s="5">
        <v>15</v>
      </c>
      <c r="G18" s="5" t="s">
        <v>9</v>
      </c>
      <c r="H18" s="5" t="str">
        <f t="shared" si="0"/>
        <v>Smartwatch Huawei</v>
      </c>
    </row>
    <row r="19" ht="15.75" customHeight="1" spans="1:8">
      <c r="A19" s="7" t="s">
        <v>136</v>
      </c>
      <c r="B19" s="7" t="s">
        <v>137</v>
      </c>
      <c r="C19" s="7" t="s">
        <v>7</v>
      </c>
      <c r="D19" s="7" t="s">
        <v>57</v>
      </c>
      <c r="E19" s="8">
        <v>980</v>
      </c>
      <c r="F19" s="7">
        <v>10</v>
      </c>
      <c r="G19" s="7" t="s">
        <v>9</v>
      </c>
      <c r="H19" s="7" t="str">
        <f t="shared" si="0"/>
        <v>Laptop Asus</v>
      </c>
    </row>
    <row r="20" ht="15.75" customHeight="1" spans="1:8">
      <c r="A20" s="5" t="s">
        <v>138</v>
      </c>
      <c r="B20" s="5" t="s">
        <v>116</v>
      </c>
      <c r="C20" s="5" t="s">
        <v>59</v>
      </c>
      <c r="D20" s="5" t="s">
        <v>60</v>
      </c>
      <c r="E20" s="6">
        <v>150</v>
      </c>
      <c r="F20" s="5">
        <v>15</v>
      </c>
      <c r="G20" s="5" t="s">
        <v>13</v>
      </c>
      <c r="H20" s="5" t="str">
        <f t="shared" si="0"/>
        <v>Sunglasses Oakley</v>
      </c>
    </row>
    <row r="21" ht="15.75" customHeight="1" spans="1:8">
      <c r="A21" s="7" t="s">
        <v>139</v>
      </c>
      <c r="B21" s="7" t="s">
        <v>110</v>
      </c>
      <c r="C21" s="7" t="s">
        <v>62</v>
      </c>
      <c r="D21" s="7" t="s">
        <v>63</v>
      </c>
      <c r="E21" s="8">
        <v>200</v>
      </c>
      <c r="F21" s="7">
        <v>10</v>
      </c>
      <c r="G21" s="7" t="s">
        <v>24</v>
      </c>
      <c r="H21" s="7" t="str">
        <f t="shared" si="0"/>
        <v>Camping Tent Coleman</v>
      </c>
    </row>
    <row r="22" ht="15.75" customHeight="1" spans="1:8">
      <c r="A22" s="5" t="s">
        <v>140</v>
      </c>
      <c r="B22" s="5" t="s">
        <v>141</v>
      </c>
      <c r="C22" s="5" t="s">
        <v>65</v>
      </c>
      <c r="D22" s="5" t="s">
        <v>66</v>
      </c>
      <c r="E22" s="6">
        <v>700</v>
      </c>
      <c r="F22" s="5">
        <v>50</v>
      </c>
      <c r="G22" s="5" t="s">
        <v>9</v>
      </c>
      <c r="H22" s="5" t="str">
        <f t="shared" si="0"/>
        <v>Camera Nikon</v>
      </c>
    </row>
    <row r="23" ht="15.75" customHeight="1" spans="1:8">
      <c r="A23" s="7" t="s">
        <v>142</v>
      </c>
      <c r="B23" s="7" t="s">
        <v>130</v>
      </c>
      <c r="C23" s="7" t="s">
        <v>68</v>
      </c>
      <c r="D23" s="7" t="s">
        <v>69</v>
      </c>
      <c r="E23" s="8">
        <v>80</v>
      </c>
      <c r="F23" s="7">
        <v>20</v>
      </c>
      <c r="G23" s="7" t="s">
        <v>17</v>
      </c>
      <c r="H23" s="7" t="str">
        <f t="shared" si="0"/>
        <v>Microwave Panasonic</v>
      </c>
    </row>
    <row r="24" ht="15.75" customHeight="1" spans="1:8">
      <c r="A24" s="5" t="s">
        <v>117</v>
      </c>
      <c r="B24" s="5" t="s">
        <v>143</v>
      </c>
      <c r="C24" s="5" t="s">
        <v>71</v>
      </c>
      <c r="D24" s="5" t="s">
        <v>72</v>
      </c>
      <c r="E24" s="6">
        <v>150</v>
      </c>
      <c r="F24" s="5">
        <v>30</v>
      </c>
      <c r="G24" s="5" t="s">
        <v>9</v>
      </c>
      <c r="H24" s="5" t="str">
        <f t="shared" si="0"/>
        <v>Fitness Tracker Xiaomi</v>
      </c>
    </row>
    <row r="25" ht="15.75" customHeight="1" spans="1:8">
      <c r="A25" s="9" t="s">
        <v>144</v>
      </c>
      <c r="B25" s="9" t="s">
        <v>130</v>
      </c>
      <c r="C25" s="9" t="s">
        <v>19</v>
      </c>
      <c r="D25" s="9" t="s">
        <v>74</v>
      </c>
      <c r="E25" s="10">
        <v>800</v>
      </c>
      <c r="F25" s="9">
        <v>45</v>
      </c>
      <c r="G25" s="9" t="s">
        <v>9</v>
      </c>
      <c r="H25" s="9" t="str">
        <f t="shared" si="0"/>
        <v>Smartphone Google</v>
      </c>
    </row>
    <row r="26" ht="15.75" customHeight="1" spans="1:8">
      <c r="A26" s="7" t="s">
        <v>145</v>
      </c>
      <c r="B26" s="7" t="s">
        <v>130</v>
      </c>
      <c r="C26" s="7" t="s">
        <v>59</v>
      </c>
      <c r="D26" s="7" t="s">
        <v>76</v>
      </c>
      <c r="E26" s="8">
        <v>130</v>
      </c>
      <c r="F26" s="7">
        <v>25</v>
      </c>
      <c r="G26" s="7" t="s">
        <v>13</v>
      </c>
      <c r="H26" s="7" t="str">
        <f t="shared" si="0"/>
        <v>Sunglasses Ray-Ban</v>
      </c>
    </row>
    <row r="27" ht="15.75" customHeight="1" spans="1:8">
      <c r="A27" s="9" t="s">
        <v>146</v>
      </c>
      <c r="B27" s="9" t="s">
        <v>130</v>
      </c>
      <c r="C27" s="9" t="s">
        <v>32</v>
      </c>
      <c r="D27" s="9" t="s">
        <v>78</v>
      </c>
      <c r="E27" s="10">
        <v>400</v>
      </c>
      <c r="F27" s="9">
        <v>40</v>
      </c>
      <c r="G27" s="9" t="s">
        <v>17</v>
      </c>
      <c r="H27" s="9" t="str">
        <f t="shared" si="0"/>
        <v>Blender Vitamix</v>
      </c>
    </row>
    <row r="28" ht="15.75" customHeight="1" spans="1:8">
      <c r="A28" s="7" t="s">
        <v>131</v>
      </c>
      <c r="B28" s="7" t="s">
        <v>132</v>
      </c>
      <c r="C28" s="7" t="s">
        <v>26</v>
      </c>
      <c r="D28" s="7" t="s">
        <v>49</v>
      </c>
      <c r="E28" s="8">
        <v>230</v>
      </c>
      <c r="F28" s="7">
        <v>20</v>
      </c>
      <c r="G28" s="7" t="s">
        <v>9</v>
      </c>
      <c r="H28" s="7" t="str">
        <f t="shared" si="0"/>
        <v>Headphones Bose</v>
      </c>
    </row>
    <row r="29" ht="15.75" customHeight="1" spans="1:8">
      <c r="A29" s="9" t="s">
        <v>147</v>
      </c>
      <c r="B29" s="9" t="s">
        <v>130</v>
      </c>
      <c r="C29" s="9" t="s">
        <v>80</v>
      </c>
      <c r="D29" s="9" t="s">
        <v>81</v>
      </c>
      <c r="E29" s="10">
        <v>60</v>
      </c>
      <c r="F29" s="9">
        <v>30</v>
      </c>
      <c r="G29" s="9" t="s">
        <v>13</v>
      </c>
      <c r="H29" s="9" t="str">
        <f t="shared" si="0"/>
        <v>Dress Zara</v>
      </c>
    </row>
    <row r="30" ht="15.75" customHeight="1" spans="1:8">
      <c r="A30" s="7" t="s">
        <v>148</v>
      </c>
      <c r="B30" s="7" t="s">
        <v>130</v>
      </c>
      <c r="C30" s="7" t="s">
        <v>83</v>
      </c>
      <c r="D30" s="7" t="s">
        <v>84</v>
      </c>
      <c r="E30" s="8">
        <v>40</v>
      </c>
      <c r="F30" s="7">
        <v>10</v>
      </c>
      <c r="G30" s="7" t="s">
        <v>17</v>
      </c>
      <c r="H30" s="7" t="str">
        <f t="shared" si="0"/>
        <v>Toaster Hamilton</v>
      </c>
    </row>
    <row r="31" ht="15.75" customHeight="1" spans="1:8">
      <c r="A31" s="9" t="s">
        <v>149</v>
      </c>
      <c r="B31" s="9" t="s">
        <v>130</v>
      </c>
      <c r="C31" s="9" t="s">
        <v>71</v>
      </c>
      <c r="D31" s="9" t="s">
        <v>86</v>
      </c>
      <c r="E31" s="10">
        <v>130</v>
      </c>
      <c r="F31" s="9">
        <v>5</v>
      </c>
      <c r="G31" s="9" t="s">
        <v>9</v>
      </c>
      <c r="H31" s="9" t="str">
        <f t="shared" si="0"/>
        <v>Fitness Tracker Garmin</v>
      </c>
    </row>
    <row r="32" ht="15.75" customHeight="1" spans="1:8">
      <c r="A32" s="7" t="s">
        <v>150</v>
      </c>
      <c r="B32" s="7" t="s">
        <v>130</v>
      </c>
      <c r="C32" s="7" t="s">
        <v>88</v>
      </c>
      <c r="D32" s="7" t="s">
        <v>151</v>
      </c>
      <c r="E32" s="8">
        <v>50</v>
      </c>
      <c r="F32" s="7">
        <v>50</v>
      </c>
      <c r="G32" s="7" t="s">
        <v>13</v>
      </c>
      <c r="H32" s="7" t="str">
        <f t="shared" si="0"/>
        <v>Jeans Levi'S</v>
      </c>
    </row>
    <row r="33" ht="15.75" customHeight="1" spans="1:8">
      <c r="A33" s="7" t="s">
        <v>152</v>
      </c>
      <c r="B33" s="7" t="s">
        <v>153</v>
      </c>
      <c r="C33" s="7" t="s">
        <v>91</v>
      </c>
      <c r="D33" s="7" t="s">
        <v>92</v>
      </c>
      <c r="E33" s="8">
        <v>100</v>
      </c>
      <c r="F33" s="7">
        <v>20</v>
      </c>
      <c r="G33" s="7" t="s">
        <v>53</v>
      </c>
      <c r="H33" s="7" t="str">
        <f t="shared" si="0"/>
        <v>Watch Casio</v>
      </c>
    </row>
    <row r="34" ht="15.75" customHeight="1"/>
    <row r="35" ht="15.75" customHeight="1"/>
    <row r="36" s="1" customFormat="1" ht="15.75" customHeight="1" spans="1:8">
      <c r="E36" s="2"/>
    </row>
    <row r="37" s="1" customFormat="1" ht="15.75" customHeight="1" spans="1:8">
      <c r="E37" s="2"/>
    </row>
    <row r="38" s="1" customFormat="1" ht="15.75" customHeight="1" spans="1:8">
      <c r="E38" s="2"/>
    </row>
    <row r="39" s="1" customFormat="1" ht="15.75" customHeight="1" spans="1:8">
      <c r="E39" s="2"/>
    </row>
    <row r="40" s="1" customFormat="1" ht="15.75" customHeight="1" spans="1:8">
      <c r="E40" s="2"/>
    </row>
    <row r="41" s="1" customFormat="1" ht="15.75" customHeight="1" spans="1:8">
      <c r="E41" s="2"/>
    </row>
    <row r="42" s="1" customFormat="1" ht="15.75" customHeight="1" spans="1:8">
      <c r="E42" s="2"/>
    </row>
    <row r="43" s="1" customFormat="1" ht="15.75" customHeight="1" spans="1:8">
      <c r="E43" s="2"/>
    </row>
    <row r="44" s="1" customFormat="1" ht="15.75" customHeight="1" spans="1:8">
      <c r="E44" s="2"/>
    </row>
    <row r="45" s="1" customFormat="1" ht="15.75" customHeight="1" spans="1:8">
      <c r="E45" s="2"/>
    </row>
    <row r="46" s="1" customFormat="1" ht="15.75" customHeight="1" spans="1:8">
      <c r="E46" s="2"/>
    </row>
    <row r="47" s="1" customFormat="1" ht="15.75" customHeight="1" spans="1:8">
      <c r="E47" s="2"/>
    </row>
    <row r="48" s="1" customFormat="1" ht="15.75" customHeight="1" spans="1:8">
      <c r="E48" s="2"/>
    </row>
    <row r="49" s="1" customFormat="1" ht="15.75" customHeight="1" spans="5:5">
      <c r="E49" s="2"/>
    </row>
    <row r="50" s="1" customFormat="1" ht="15.75" customHeight="1" spans="5:5">
      <c r="E50" s="2"/>
    </row>
    <row r="51" s="1" customFormat="1" ht="15.75" customHeight="1" spans="5:5">
      <c r="E51" s="2"/>
    </row>
    <row r="52" s="1" customFormat="1" ht="15.75" customHeight="1" spans="5:5">
      <c r="E52" s="2"/>
    </row>
    <row r="53" s="1" customFormat="1" ht="15.75" customHeight="1" spans="5:5">
      <c r="E53" s="2"/>
    </row>
    <row r="54" s="1" customFormat="1" ht="15.75" customHeight="1" spans="5:5">
      <c r="E54" s="2"/>
    </row>
    <row r="55" s="1" customFormat="1" ht="15.75" customHeight="1" spans="5:5">
      <c r="E55" s="2"/>
    </row>
    <row r="56" s="1" customFormat="1" ht="15.75" customHeight="1" spans="5:5">
      <c r="E56" s="2"/>
    </row>
    <row r="57" s="1" customFormat="1" ht="15.75" customHeight="1" spans="5:5">
      <c r="E57" s="2"/>
    </row>
    <row r="58" s="1" customFormat="1" ht="15.75" customHeight="1" spans="5:5">
      <c r="E58" s="2"/>
    </row>
    <row r="59" s="1" customFormat="1" ht="15.75" customHeight="1" spans="5:5">
      <c r="E59" s="2"/>
    </row>
    <row r="60" s="1" customFormat="1" ht="15.75" customHeight="1" spans="5:5">
      <c r="E60" s="2"/>
    </row>
    <row r="61" s="1" customFormat="1" ht="15.75" customHeight="1" spans="5:5">
      <c r="E61" s="2"/>
    </row>
    <row r="62" s="1" customFormat="1" ht="15.75" customHeight="1" spans="5:5">
      <c r="E62" s="2"/>
    </row>
    <row r="63" s="1" customFormat="1" ht="15.75" customHeight="1" spans="5:5">
      <c r="E63" s="2"/>
    </row>
    <row r="64" s="1" customFormat="1" ht="15.75" customHeight="1" spans="5:5">
      <c r="E64" s="2"/>
    </row>
    <row r="65" s="1" customFormat="1" ht="15.75" customHeight="1" spans="5:5">
      <c r="E65" s="2"/>
    </row>
    <row r="66" s="1" customFormat="1" ht="15.75" customHeight="1" spans="5:5">
      <c r="E66" s="2"/>
    </row>
    <row r="67" s="1" customFormat="1" ht="15.75" customHeight="1" spans="5:5">
      <c r="E67" s="2"/>
    </row>
    <row r="68" s="1" customFormat="1" ht="15.75" customHeight="1" spans="5:5">
      <c r="E68" s="2"/>
    </row>
    <row r="69" s="1" customFormat="1" ht="15.75" customHeight="1" spans="5:5">
      <c r="E69" s="2"/>
    </row>
    <row r="70" s="1" customFormat="1" ht="15.75" customHeight="1" spans="5:5">
      <c r="E70" s="2"/>
    </row>
    <row r="71" s="1" customFormat="1" ht="15.75" customHeight="1" spans="5:5">
      <c r="E71" s="2"/>
    </row>
    <row r="72" s="1" customFormat="1" ht="15.75" customHeight="1" spans="5:5">
      <c r="E72" s="2"/>
    </row>
    <row r="73" s="1" customFormat="1" ht="15.75" customHeight="1" spans="5:5">
      <c r="E73" s="2"/>
    </row>
    <row r="74" s="1" customFormat="1" ht="15.75" customHeight="1" spans="5:5">
      <c r="E74" s="2"/>
    </row>
    <row r="75" s="1" customFormat="1" ht="15.75" customHeight="1" spans="5:5">
      <c r="E75" s="2"/>
    </row>
    <row r="76" s="1" customFormat="1" ht="15.75" customHeight="1" spans="5:5">
      <c r="E76" s="2"/>
    </row>
    <row r="77" s="1" customFormat="1" ht="15.75" customHeight="1" spans="5:5">
      <c r="E77" s="2"/>
    </row>
    <row r="78" s="1" customFormat="1" ht="15.75" customHeight="1" spans="5:5">
      <c r="E78" s="2"/>
    </row>
    <row r="79" s="1" customFormat="1" ht="15.75" customHeight="1" spans="5:5">
      <c r="E79" s="2"/>
    </row>
    <row r="80" s="1" customFormat="1" ht="15.75" customHeight="1" spans="5:5">
      <c r="E80" s="2"/>
    </row>
    <row r="81" s="1" customFormat="1" ht="15.75" customHeight="1" spans="5:5">
      <c r="E81" s="2"/>
    </row>
    <row r="82" s="1" customFormat="1" ht="15.75" customHeight="1" spans="5:5">
      <c r="E82" s="2"/>
    </row>
    <row r="83" s="1" customFormat="1" ht="15.75" customHeight="1" spans="5:5">
      <c r="E83" s="2"/>
    </row>
    <row r="84" s="1" customFormat="1" ht="15.75" customHeight="1" spans="5:5">
      <c r="E84" s="2"/>
    </row>
    <row r="85" s="1" customFormat="1" ht="15.75" customHeight="1" spans="5:5">
      <c r="E85" s="2"/>
    </row>
    <row r="86" s="1" customFormat="1" ht="15.75" customHeight="1" spans="5:5">
      <c r="E86" s="2"/>
    </row>
    <row r="87" s="1" customFormat="1" ht="15.75" customHeight="1" spans="5:5">
      <c r="E87" s="2"/>
    </row>
    <row r="88" s="1" customFormat="1" ht="15.75" customHeight="1" spans="5:5">
      <c r="E88" s="2"/>
    </row>
    <row r="89" s="1" customFormat="1" ht="15.75" customHeight="1" spans="5:5">
      <c r="E89" s="2"/>
    </row>
    <row r="90" s="1" customFormat="1" ht="15.75" customHeight="1" spans="5:5">
      <c r="E90" s="2"/>
    </row>
    <row r="91" s="1" customFormat="1" ht="15.75" customHeight="1" spans="5:5">
      <c r="E91" s="2"/>
    </row>
    <row r="92" s="1" customFormat="1" ht="15.75" customHeight="1" spans="5:5">
      <c r="E92" s="2"/>
    </row>
    <row r="93" s="1" customFormat="1" ht="15.75" customHeight="1" spans="5:5">
      <c r="E93" s="2"/>
    </row>
    <row r="94" s="1" customFormat="1" ht="15.75" customHeight="1" spans="5:5">
      <c r="E94" s="2"/>
    </row>
    <row r="95" s="1" customFormat="1" ht="15.75" customHeight="1" spans="5:5">
      <c r="E95" s="2"/>
    </row>
    <row r="96" s="1" customFormat="1" ht="15.75" customHeight="1" spans="5:5">
      <c r="E96" s="2"/>
    </row>
    <row r="97" s="1" customFormat="1" ht="15.75" customHeight="1" spans="5:5">
      <c r="E97" s="2"/>
    </row>
    <row r="98" s="1" customFormat="1" ht="15.75" customHeight="1" spans="5:5">
      <c r="E98" s="2"/>
    </row>
    <row r="99" s="1" customFormat="1" ht="15.75" customHeight="1" spans="5:5">
      <c r="E99" s="2"/>
    </row>
    <row r="100" s="1" customFormat="1" ht="15.75" customHeight="1" spans="5:5">
      <c r="E100" s="2"/>
    </row>
    <row r="101" s="1" customFormat="1" ht="15.75" customHeight="1" spans="5:5">
      <c r="E101" s="2"/>
    </row>
    <row r="102" s="1" customFormat="1" ht="15.75" customHeight="1" spans="5:5">
      <c r="E102" s="2"/>
    </row>
    <row r="103" s="1" customFormat="1" ht="15.75" customHeight="1" spans="5:5">
      <c r="E103" s="2"/>
    </row>
    <row r="104" s="1" customFormat="1" ht="15.75" customHeight="1" spans="5:5">
      <c r="E104" s="2"/>
    </row>
    <row r="105" s="1" customFormat="1" ht="15.75" customHeight="1" spans="5:5">
      <c r="E105" s="2"/>
    </row>
    <row r="106" s="1" customFormat="1" ht="15.75" customHeight="1" spans="5:5">
      <c r="E106" s="2"/>
    </row>
    <row r="107" s="1" customFormat="1" ht="15.75" customHeight="1" spans="5:5">
      <c r="E107" s="2"/>
    </row>
    <row r="108" s="1" customFormat="1" ht="15.75" customHeight="1" spans="5:5">
      <c r="E108" s="2"/>
    </row>
    <row r="109" s="1" customFormat="1" ht="15.75" customHeight="1" spans="5:5">
      <c r="E109" s="2"/>
    </row>
    <row r="110" s="1" customFormat="1" ht="15.75" customHeight="1" spans="5:5">
      <c r="E110" s="2"/>
    </row>
    <row r="111" s="1" customFormat="1" ht="15.75" customHeight="1" spans="5:5">
      <c r="E111" s="2"/>
    </row>
    <row r="112" s="1" customFormat="1" ht="15.75" customHeight="1" spans="5:5">
      <c r="E112" s="2"/>
    </row>
    <row r="113" s="1" customFormat="1" ht="15.75" customHeight="1" spans="5:5">
      <c r="E113" s="2"/>
    </row>
    <row r="114" s="1" customFormat="1" ht="15.75" customHeight="1" spans="5:5">
      <c r="E114" s="2"/>
    </row>
    <row r="115" s="1" customFormat="1" ht="15.75" customHeight="1" spans="5:5">
      <c r="E115" s="2"/>
    </row>
    <row r="116" s="1" customFormat="1" ht="15.75" customHeight="1" spans="5:5">
      <c r="E116" s="2"/>
    </row>
    <row r="117" s="1" customFormat="1" ht="15.75" customHeight="1" spans="5:5">
      <c r="E117" s="2"/>
    </row>
    <row r="118" s="1" customFormat="1" ht="15.75" customHeight="1" spans="5:5">
      <c r="E118" s="2"/>
    </row>
    <row r="119" s="1" customFormat="1" ht="15.75" customHeight="1" spans="5:5">
      <c r="E119" s="2"/>
    </row>
    <row r="120" s="1" customFormat="1" ht="15.75" customHeight="1" spans="5:5">
      <c r="E120" s="2"/>
    </row>
    <row r="121" s="1" customFormat="1" ht="15.75" customHeight="1" spans="5:5">
      <c r="E121" s="2"/>
    </row>
    <row r="122" s="1" customFormat="1" ht="15.75" customHeight="1" spans="5:5">
      <c r="E122" s="2"/>
    </row>
    <row r="123" s="1" customFormat="1" ht="15.75" customHeight="1" spans="5:5">
      <c r="E123" s="2"/>
    </row>
    <row r="124" s="1" customFormat="1" ht="15.75" customHeight="1" spans="5:5">
      <c r="E124" s="2"/>
    </row>
    <row r="125" s="1" customFormat="1" ht="15.75" customHeight="1" spans="5:5">
      <c r="E125" s="2"/>
    </row>
    <row r="126" s="1" customFormat="1" ht="15.75" customHeight="1" spans="5:5">
      <c r="E126" s="2"/>
    </row>
    <row r="127" s="1" customFormat="1" ht="15.75" customHeight="1" spans="5:5">
      <c r="E127" s="2"/>
    </row>
    <row r="128" s="1" customFormat="1" ht="15.75" customHeight="1" spans="5:5">
      <c r="E128" s="2"/>
    </row>
    <row r="129" s="1" customFormat="1" ht="15.75" customHeight="1" spans="5:5">
      <c r="E129" s="2"/>
    </row>
    <row r="130" s="1" customFormat="1" ht="15.75" customHeight="1" spans="5:5">
      <c r="E130" s="2"/>
    </row>
    <row r="131" s="1" customFormat="1" ht="15.75" customHeight="1" spans="5:5">
      <c r="E131" s="2"/>
    </row>
    <row r="132" s="1" customFormat="1" ht="15.75" customHeight="1" spans="5:5">
      <c r="E132" s="2"/>
    </row>
    <row r="133" s="1" customFormat="1" ht="15.75" customHeight="1" spans="5:5">
      <c r="E133" s="2"/>
    </row>
    <row r="134" s="1" customFormat="1" ht="15.75" customHeight="1" spans="5:5">
      <c r="E134" s="2"/>
    </row>
    <row r="135" s="1" customFormat="1" ht="15.75" customHeight="1" spans="5:5">
      <c r="E135" s="2"/>
    </row>
    <row r="136" s="1" customFormat="1" ht="15.75" customHeight="1" spans="5:5">
      <c r="E136" s="2"/>
    </row>
    <row r="137" s="1" customFormat="1" ht="15.75" customHeight="1" spans="5:5">
      <c r="E137" s="2"/>
    </row>
    <row r="138" s="1" customFormat="1" ht="15.75" customHeight="1" spans="5:5">
      <c r="E138" s="2"/>
    </row>
    <row r="139" s="1" customFormat="1" ht="15.75" customHeight="1" spans="5:5">
      <c r="E139" s="2"/>
    </row>
    <row r="140" s="1" customFormat="1" ht="15.75" customHeight="1" spans="5:5">
      <c r="E140" s="2"/>
    </row>
    <row r="141" s="1" customFormat="1" ht="15.75" customHeight="1" spans="5:5">
      <c r="E141" s="2"/>
    </row>
    <row r="142" s="1" customFormat="1" ht="15.75" customHeight="1" spans="5:5">
      <c r="E142" s="2"/>
    </row>
    <row r="143" s="1" customFormat="1" ht="15.75" customHeight="1" spans="5:5">
      <c r="E143" s="2"/>
    </row>
    <row r="144" s="1" customFormat="1" ht="15.75" customHeight="1" spans="5:5">
      <c r="E144" s="2"/>
    </row>
    <row r="145" s="1" customFormat="1" ht="15.75" customHeight="1" spans="5:5">
      <c r="E145" s="2"/>
    </row>
    <row r="146" s="1" customFormat="1" ht="15.75" customHeight="1" spans="5:5">
      <c r="E146" s="2"/>
    </row>
    <row r="147" s="1" customFormat="1" ht="15.75" customHeight="1" spans="5:5">
      <c r="E147" s="2"/>
    </row>
    <row r="148" s="1" customFormat="1" ht="15.75" customHeight="1" spans="5:5">
      <c r="E148" s="2"/>
    </row>
    <row r="149" s="1" customFormat="1" ht="15.75" customHeight="1" spans="5:5">
      <c r="E149" s="2"/>
    </row>
    <row r="150" s="1" customFormat="1" ht="15.75" customHeight="1" spans="5:5">
      <c r="E150" s="2"/>
    </row>
    <row r="151" s="1" customFormat="1" ht="15.75" customHeight="1" spans="5:5">
      <c r="E151" s="2"/>
    </row>
    <row r="152" s="1" customFormat="1" ht="15.75" customHeight="1" spans="5:5">
      <c r="E152" s="2"/>
    </row>
    <row r="153" s="1" customFormat="1" ht="15.75" customHeight="1" spans="5:5">
      <c r="E153" s="2"/>
    </row>
    <row r="154" s="1" customFormat="1" ht="15.75" customHeight="1" spans="5:5">
      <c r="E154" s="2"/>
    </row>
    <row r="155" s="1" customFormat="1" ht="15.75" customHeight="1" spans="5:5">
      <c r="E155" s="2"/>
    </row>
    <row r="156" s="1" customFormat="1" ht="15.75" customHeight="1" spans="5:5">
      <c r="E156" s="2"/>
    </row>
    <row r="157" s="1" customFormat="1" ht="15.75" customHeight="1" spans="5:5">
      <c r="E157" s="2"/>
    </row>
    <row r="158" s="1" customFormat="1" ht="15.75" customHeight="1" spans="5:5">
      <c r="E158" s="2"/>
    </row>
    <row r="159" s="1" customFormat="1" ht="15.75" customHeight="1" spans="5:5">
      <c r="E159" s="2"/>
    </row>
    <row r="160" s="1" customFormat="1" ht="15.75" customHeight="1" spans="5:5">
      <c r="E160" s="2"/>
    </row>
    <row r="161" s="1" customFormat="1" ht="15.75" customHeight="1" spans="5:5">
      <c r="E161" s="2"/>
    </row>
    <row r="162" s="1" customFormat="1" ht="15.75" customHeight="1" spans="5:5">
      <c r="E162" s="2"/>
    </row>
    <row r="163" s="1" customFormat="1" ht="15.75" customHeight="1" spans="5:5">
      <c r="E163" s="2"/>
    </row>
    <row r="164" s="1" customFormat="1" ht="15.75" customHeight="1" spans="5:5">
      <c r="E164" s="2"/>
    </row>
    <row r="165" s="1" customFormat="1" ht="15.75" customHeight="1" spans="5:5">
      <c r="E165" s="2"/>
    </row>
    <row r="166" s="1" customFormat="1" ht="15.75" customHeight="1" spans="5:5">
      <c r="E166" s="2"/>
    </row>
    <row r="167" s="1" customFormat="1" ht="15.75" customHeight="1" spans="5:5">
      <c r="E167" s="2"/>
    </row>
    <row r="168" s="1" customFormat="1" ht="15.75" customHeight="1" spans="5:5">
      <c r="E168" s="2"/>
    </row>
    <row r="169" s="1" customFormat="1" ht="15.75" customHeight="1" spans="5:5">
      <c r="E169" s="2"/>
    </row>
    <row r="170" s="1" customFormat="1" ht="15.75" customHeight="1" spans="5:5">
      <c r="E170" s="2"/>
    </row>
    <row r="171" s="1" customFormat="1" ht="15.75" customHeight="1" spans="5:5">
      <c r="E171" s="2"/>
    </row>
    <row r="172" s="1" customFormat="1" ht="15.75" customHeight="1" spans="5:5">
      <c r="E172" s="2"/>
    </row>
    <row r="173" s="1" customFormat="1" ht="15.75" customHeight="1" spans="5:5">
      <c r="E173" s="2"/>
    </row>
    <row r="174" s="1" customFormat="1" ht="15.75" customHeight="1" spans="5:5">
      <c r="E174" s="2"/>
    </row>
    <row r="175" s="1" customFormat="1" ht="15.75" customHeight="1" spans="5:5">
      <c r="E175" s="2"/>
    </row>
    <row r="176" s="1" customFormat="1" ht="15.75" customHeight="1" spans="5:5">
      <c r="E176" s="2"/>
    </row>
    <row r="177" s="1" customFormat="1" ht="15.75" customHeight="1" spans="5:5">
      <c r="E177" s="2"/>
    </row>
    <row r="178" s="1" customFormat="1" ht="15.75" customHeight="1" spans="5:5">
      <c r="E178" s="2"/>
    </row>
    <row r="179" s="1" customFormat="1" ht="15.75" customHeight="1" spans="5:5">
      <c r="E179" s="2"/>
    </row>
    <row r="180" s="1" customFormat="1" ht="15.75" customHeight="1" spans="5:5">
      <c r="E180" s="2"/>
    </row>
    <row r="181" s="1" customFormat="1" ht="15.75" customHeight="1" spans="5:5">
      <c r="E181" s="2"/>
    </row>
    <row r="182" s="1" customFormat="1" ht="15.75" customHeight="1" spans="5:5">
      <c r="E182" s="2"/>
    </row>
    <row r="183" s="1" customFormat="1" ht="15.75" customHeight="1" spans="5:5">
      <c r="E183" s="2"/>
    </row>
    <row r="184" s="1" customFormat="1" ht="15.75" customHeight="1" spans="5:5">
      <c r="E184" s="2"/>
    </row>
    <row r="185" s="1" customFormat="1" ht="15.75" customHeight="1" spans="5:5">
      <c r="E185" s="2"/>
    </row>
    <row r="186" s="1" customFormat="1" ht="15.75" customHeight="1" spans="5:5">
      <c r="E186" s="2"/>
    </row>
    <row r="187" s="1" customFormat="1" ht="15.75" customHeight="1" spans="5:5">
      <c r="E187" s="2"/>
    </row>
    <row r="188" s="1" customFormat="1" ht="15.75" customHeight="1" spans="5:5">
      <c r="E188" s="2"/>
    </row>
    <row r="189" s="1" customFormat="1" ht="15.75" customHeight="1" spans="5:5">
      <c r="E189" s="2"/>
    </row>
    <row r="190" s="1" customFormat="1" ht="15.75" customHeight="1" spans="5:5">
      <c r="E190" s="2"/>
    </row>
    <row r="191" s="1" customFormat="1" ht="15.75" customHeight="1" spans="5:5">
      <c r="E191" s="2"/>
    </row>
    <row r="192" s="1" customFormat="1" ht="15.75" customHeight="1" spans="5:5">
      <c r="E192" s="2"/>
    </row>
    <row r="193" s="1" customFormat="1" ht="15.75" customHeight="1" spans="5:5">
      <c r="E193" s="2"/>
    </row>
    <row r="194" s="1" customFormat="1" ht="15.75" customHeight="1" spans="5:5">
      <c r="E194" s="2"/>
    </row>
    <row r="195" s="1" customFormat="1" ht="15.75" customHeight="1" spans="5:5">
      <c r="E195" s="2"/>
    </row>
    <row r="196" s="1" customFormat="1" ht="15.75" customHeight="1" spans="5:5">
      <c r="E196" s="2"/>
    </row>
    <row r="197" s="1" customFormat="1" ht="15.75" customHeight="1" spans="5:5">
      <c r="E197" s="2"/>
    </row>
    <row r="198" s="1" customFormat="1" ht="15.75" customHeight="1" spans="5:5">
      <c r="E198" s="2"/>
    </row>
    <row r="199" s="1" customFormat="1" ht="15.75" customHeight="1" spans="5:5">
      <c r="E199" s="2"/>
    </row>
    <row r="200" s="1" customFormat="1" ht="15.75" customHeight="1" spans="5:5">
      <c r="E200" s="2"/>
    </row>
    <row r="201" s="1" customFormat="1" ht="15.75" customHeight="1" spans="5:5">
      <c r="E201" s="2"/>
    </row>
    <row r="202" s="1" customFormat="1" ht="15.75" customHeight="1" spans="5:5">
      <c r="E202" s="2"/>
    </row>
    <row r="203" s="1" customFormat="1" ht="15.75" customHeight="1" spans="5:5">
      <c r="E203" s="2"/>
    </row>
    <row r="204" s="1" customFormat="1" ht="15.75" customHeight="1" spans="5:5">
      <c r="E204" s="2"/>
    </row>
    <row r="205" s="1" customFormat="1" ht="15.75" customHeight="1" spans="5:5">
      <c r="E205" s="2"/>
    </row>
    <row r="206" s="1" customFormat="1" ht="15.75" customHeight="1" spans="5:5">
      <c r="E206" s="2"/>
    </row>
    <row r="207" s="1" customFormat="1" ht="15.75" customHeight="1" spans="5:5">
      <c r="E207" s="2"/>
    </row>
    <row r="208" s="1" customFormat="1" ht="15.75" customHeight="1" spans="5:5">
      <c r="E208" s="2"/>
    </row>
    <row r="209" s="1" customFormat="1" ht="15.75" customHeight="1" spans="5:5">
      <c r="E209" s="2"/>
    </row>
    <row r="210" s="1" customFormat="1" ht="15.75" customHeight="1" spans="5:5">
      <c r="E210" s="2"/>
    </row>
    <row r="211" s="1" customFormat="1" ht="15.75" customHeight="1" spans="5:5">
      <c r="E211" s="2"/>
    </row>
    <row r="212" s="1" customFormat="1" ht="15.75" customHeight="1" spans="5:5">
      <c r="E212" s="2"/>
    </row>
    <row r="213" s="1" customFormat="1" ht="15.75" customHeight="1" spans="5:5">
      <c r="E213" s="2"/>
    </row>
    <row r="214" s="1" customFormat="1" ht="15.75" customHeight="1" spans="5:5">
      <c r="E214" s="2"/>
    </row>
    <row r="215" s="1" customFormat="1" ht="15.75" customHeight="1" spans="5:5">
      <c r="E215" s="2"/>
    </row>
    <row r="216" s="1" customFormat="1" ht="15.75" customHeight="1" spans="5:5">
      <c r="E216" s="2"/>
    </row>
    <row r="217" s="1" customFormat="1" ht="15.75" customHeight="1" spans="5:5">
      <c r="E217" s="2"/>
    </row>
    <row r="218" s="1" customFormat="1" ht="15.75" customHeight="1" spans="5:5">
      <c r="E218" s="2"/>
    </row>
    <row r="219" s="1" customFormat="1" ht="15.75" customHeight="1" spans="5:5">
      <c r="E219" s="2"/>
    </row>
    <row r="220" s="1" customFormat="1" ht="15.75" customHeight="1" spans="5:5">
      <c r="E220" s="2"/>
    </row>
    <row r="221" s="1" customFormat="1" ht="15.75" customHeight="1" spans="5:5">
      <c r="E221" s="2"/>
    </row>
    <row r="222" s="1" customFormat="1" ht="15.75" customHeight="1" spans="5:5">
      <c r="E222" s="2"/>
    </row>
    <row r="223" s="1" customFormat="1" ht="15.75" customHeight="1" spans="5:5">
      <c r="E223" s="2"/>
    </row>
    <row r="224" s="1" customFormat="1" ht="15.75" customHeight="1" spans="5:5">
      <c r="E224" s="2"/>
    </row>
    <row r="225" s="1" customFormat="1" ht="15.75" customHeight="1" spans="5:5">
      <c r="E225" s="2"/>
    </row>
    <row r="226" s="1" customFormat="1" ht="15.75" customHeight="1" spans="5:5">
      <c r="E226" s="2"/>
    </row>
    <row r="227" s="1" customFormat="1" ht="15.75" customHeight="1" spans="5:5">
      <c r="E227" s="2"/>
    </row>
    <row r="228" s="1" customFormat="1" ht="15.75" customHeight="1" spans="5:5">
      <c r="E228" s="2"/>
    </row>
    <row r="229" s="1" customFormat="1" ht="15.75" customHeight="1" spans="5:5">
      <c r="E229" s="2"/>
    </row>
    <row r="230" s="1" customFormat="1" ht="15.75" customHeight="1" spans="5:5">
      <c r="E230" s="2"/>
    </row>
    <row r="231" s="1" customFormat="1" ht="15.75" customHeight="1" spans="5:5">
      <c r="E231" s="2"/>
    </row>
    <row r="232" s="1" customFormat="1" ht="15.75" customHeight="1" spans="5:5">
      <c r="E232" s="2"/>
    </row>
    <row r="233" s="1" customFormat="1" ht="15.75" customHeight="1" spans="5:5">
      <c r="E233" s="2"/>
    </row>
    <row r="234" s="1" customFormat="1" ht="15.75" customHeight="1" spans="5:5">
      <c r="E234" s="2"/>
    </row>
    <row r="235" s="1" customFormat="1" ht="15.75" customHeight="1" spans="5:5">
      <c r="E235" s="2"/>
    </row>
    <row r="236" s="1" customFormat="1" ht="15.75" customHeight="1" spans="5:5">
      <c r="E236" s="2"/>
    </row>
    <row r="237" s="1" customFormat="1" ht="15.75" customHeight="1" spans="5:5">
      <c r="E237" s="2"/>
    </row>
    <row r="238" s="1" customFormat="1" ht="15.75" customHeight="1" spans="5:5">
      <c r="E238" s="2"/>
    </row>
    <row r="239" s="1" customFormat="1" ht="15.75" customHeight="1" spans="5:5">
      <c r="E239" s="2"/>
    </row>
    <row r="240" s="1" customFormat="1" ht="15.75" customHeight="1" spans="5:5">
      <c r="E240" s="2"/>
    </row>
    <row r="241" s="1" customFormat="1" ht="15.75" customHeight="1" spans="5:5">
      <c r="E241" s="2"/>
    </row>
    <row r="242" s="1" customFormat="1" ht="15.75" customHeight="1" spans="5:5">
      <c r="E242" s="2"/>
    </row>
    <row r="243" s="1" customFormat="1" ht="15.75" customHeight="1" spans="5:5">
      <c r="E243" s="2"/>
    </row>
    <row r="244" s="1" customFormat="1" ht="15.75" customHeight="1" spans="5:5">
      <c r="E244" s="2"/>
    </row>
    <row r="245" s="1" customFormat="1" ht="15.75" customHeight="1" spans="5:5">
      <c r="E245" s="2"/>
    </row>
    <row r="246" s="1" customFormat="1" ht="15.75" customHeight="1" spans="5:5">
      <c r="E246" s="2"/>
    </row>
    <row r="247" s="1" customFormat="1" ht="15.75" customHeight="1" spans="5:5">
      <c r="E247" s="2"/>
    </row>
    <row r="248" s="1" customFormat="1" ht="15.75" customHeight="1" spans="5:5">
      <c r="E248" s="2"/>
    </row>
    <row r="249" s="1" customFormat="1" ht="15.75" customHeight="1" spans="5:5">
      <c r="E249" s="2"/>
    </row>
    <row r="250" s="1" customFormat="1" ht="15.75" customHeight="1" spans="5:5">
      <c r="E250" s="2"/>
    </row>
    <row r="251" s="1" customFormat="1" ht="15.75" customHeight="1" spans="5:5">
      <c r="E251" s="2"/>
    </row>
    <row r="252" s="1" customFormat="1" ht="15.75" customHeight="1" spans="5:5">
      <c r="E252" s="2"/>
    </row>
    <row r="253" s="1" customFormat="1" ht="15.75" customHeight="1" spans="5:5">
      <c r="E253" s="2"/>
    </row>
    <row r="254" s="1" customFormat="1" ht="15.75" customHeight="1" spans="5:5">
      <c r="E254" s="2"/>
    </row>
    <row r="255" s="1" customFormat="1" ht="15.75" customHeight="1" spans="5:5">
      <c r="E255" s="2"/>
    </row>
    <row r="256" s="1" customFormat="1" ht="15.75" customHeight="1" spans="5:5">
      <c r="E256" s="2"/>
    </row>
    <row r="257" s="1" customFormat="1" ht="15.75" customHeight="1" spans="5:5">
      <c r="E257" s="2"/>
    </row>
    <row r="258" s="1" customFormat="1" ht="15.75" customHeight="1" spans="5:5">
      <c r="E258" s="2"/>
    </row>
    <row r="259" s="1" customFormat="1" ht="15.75" customHeight="1" spans="5:5">
      <c r="E259" s="2"/>
    </row>
    <row r="260" s="1" customFormat="1" ht="15.75" customHeight="1" spans="5:5">
      <c r="E260" s="2"/>
    </row>
    <row r="261" s="1" customFormat="1" ht="15.75" customHeight="1" spans="5:5">
      <c r="E261" s="2"/>
    </row>
    <row r="262" s="1" customFormat="1" ht="15.75" customHeight="1" spans="5:5">
      <c r="E262" s="2"/>
    </row>
    <row r="263" s="1" customFormat="1" ht="15.75" customHeight="1" spans="5:5">
      <c r="E263" s="2"/>
    </row>
    <row r="264" s="1" customFormat="1" ht="15.75" customHeight="1" spans="5:5">
      <c r="E264" s="2"/>
    </row>
    <row r="265" s="1" customFormat="1" ht="15.75" customHeight="1" spans="5:5">
      <c r="E265" s="2"/>
    </row>
    <row r="266" s="1" customFormat="1" ht="15.75" customHeight="1" spans="5:5">
      <c r="E266" s="2"/>
    </row>
    <row r="267" s="1" customFormat="1" ht="15.75" customHeight="1" spans="5:5">
      <c r="E267" s="2"/>
    </row>
    <row r="268" s="1" customFormat="1" ht="15.75" customHeight="1" spans="5:5">
      <c r="E268" s="2"/>
    </row>
    <row r="269" s="1" customFormat="1" ht="15.75" customHeight="1" spans="5:5">
      <c r="E269" s="2"/>
    </row>
    <row r="270" s="1" customFormat="1" ht="15.75" customHeight="1" spans="5:5">
      <c r="E270" s="2"/>
    </row>
    <row r="271" s="1" customFormat="1" ht="15.75" customHeight="1" spans="5:5">
      <c r="E271" s="2"/>
    </row>
    <row r="272" s="1" customFormat="1" ht="15.75" customHeight="1" spans="5:5">
      <c r="E272" s="2"/>
    </row>
    <row r="273" s="1" customFormat="1" ht="15.75" customHeight="1" spans="5:5">
      <c r="E273" s="2"/>
    </row>
    <row r="274" s="1" customFormat="1" ht="15.75" customHeight="1" spans="5:5">
      <c r="E274" s="2"/>
    </row>
    <row r="275" s="1" customFormat="1" ht="15.75" customHeight="1" spans="5:5">
      <c r="E275" s="2"/>
    </row>
    <row r="276" s="1" customFormat="1" ht="15.75" customHeight="1" spans="5:5">
      <c r="E276" s="2"/>
    </row>
    <row r="277" s="1" customFormat="1" ht="15.75" customHeight="1" spans="5:5">
      <c r="E277" s="2"/>
    </row>
    <row r="278" s="1" customFormat="1" ht="15.75" customHeight="1" spans="5:5">
      <c r="E278" s="2"/>
    </row>
    <row r="279" s="1" customFormat="1" ht="15.75" customHeight="1" spans="5:5">
      <c r="E279" s="2"/>
    </row>
    <row r="280" s="1" customFormat="1" ht="15.75" customHeight="1" spans="5:5">
      <c r="E280" s="2"/>
    </row>
    <row r="281" s="1" customFormat="1" ht="15.75" customHeight="1" spans="5:5">
      <c r="E281" s="2"/>
    </row>
    <row r="282" s="1" customFormat="1" ht="15.75" customHeight="1" spans="5:5">
      <c r="E282" s="2"/>
    </row>
    <row r="283" s="1" customFormat="1" ht="15.75" customHeight="1" spans="5:5">
      <c r="E283" s="2"/>
    </row>
    <row r="284" s="1" customFormat="1" ht="15.75" customHeight="1" spans="5:5">
      <c r="E284" s="2"/>
    </row>
    <row r="285" s="1" customFormat="1" ht="15.75" customHeight="1" spans="5:5">
      <c r="E285" s="2"/>
    </row>
    <row r="286" s="1" customFormat="1" ht="15.75" customHeight="1" spans="5:5">
      <c r="E286" s="2"/>
    </row>
    <row r="287" s="1" customFormat="1" ht="15.75" customHeight="1" spans="5:5">
      <c r="E287" s="2"/>
    </row>
    <row r="288" s="1" customFormat="1" ht="15.75" customHeight="1" spans="5:5">
      <c r="E288" s="2"/>
    </row>
    <row r="289" s="1" customFormat="1" ht="15.75" customHeight="1" spans="5:5">
      <c r="E289" s="2"/>
    </row>
    <row r="290" s="1" customFormat="1" ht="15.75" customHeight="1" spans="5:5">
      <c r="E290" s="2"/>
    </row>
    <row r="291" s="1" customFormat="1" ht="15.75" customHeight="1" spans="5:5">
      <c r="E291" s="2"/>
    </row>
    <row r="292" s="1" customFormat="1" ht="15.75" customHeight="1" spans="5:5">
      <c r="E292" s="2"/>
    </row>
    <row r="293" s="1" customFormat="1" ht="15.75" customHeight="1" spans="5:5">
      <c r="E293" s="2"/>
    </row>
    <row r="294" s="1" customFormat="1" ht="15.75" customHeight="1" spans="5:5">
      <c r="E294" s="2"/>
    </row>
    <row r="295" s="1" customFormat="1" ht="15.75" customHeight="1" spans="5:5">
      <c r="E295" s="2"/>
    </row>
    <row r="296" s="1" customFormat="1" ht="15.75" customHeight="1" spans="5:5">
      <c r="E296" s="2"/>
    </row>
    <row r="297" s="1" customFormat="1" ht="15.75" customHeight="1" spans="5:5">
      <c r="E297" s="2"/>
    </row>
    <row r="298" s="1" customFormat="1" ht="15.75" customHeight="1" spans="5:5">
      <c r="E298" s="2"/>
    </row>
    <row r="299" s="1" customFormat="1" ht="15.75" customHeight="1" spans="5:5">
      <c r="E299" s="2"/>
    </row>
    <row r="300" s="1" customFormat="1" ht="15.75" customHeight="1" spans="5:5">
      <c r="E300" s="2"/>
    </row>
    <row r="301" s="1" customFormat="1" ht="15.75" customHeight="1" spans="5:5">
      <c r="E301" s="2"/>
    </row>
    <row r="302" s="1" customFormat="1" ht="15.75" customHeight="1" spans="5:5">
      <c r="E302" s="2"/>
    </row>
    <row r="303" s="1" customFormat="1" ht="15.75" customHeight="1" spans="5:5">
      <c r="E303" s="2"/>
    </row>
    <row r="304" s="1" customFormat="1" ht="15.75" customHeight="1" spans="5:5">
      <c r="E304" s="2"/>
    </row>
    <row r="305" s="1" customFormat="1" ht="15.75" customHeight="1" spans="5:5">
      <c r="E305" s="2"/>
    </row>
    <row r="306" s="1" customFormat="1" ht="15.75" customHeight="1" spans="5:5">
      <c r="E306" s="2"/>
    </row>
    <row r="307" s="1" customFormat="1" ht="15.75" customHeight="1" spans="5:5">
      <c r="E307" s="2"/>
    </row>
    <row r="308" s="1" customFormat="1" ht="15.75" customHeight="1" spans="5:5">
      <c r="E308" s="2"/>
    </row>
    <row r="309" s="1" customFormat="1" ht="15.75" customHeight="1" spans="5:5">
      <c r="E309" s="2"/>
    </row>
    <row r="310" s="1" customFormat="1" ht="15.75" customHeight="1" spans="5:5">
      <c r="E310" s="2"/>
    </row>
    <row r="311" s="1" customFormat="1" ht="15.75" customHeight="1" spans="5:5">
      <c r="E311" s="2"/>
    </row>
    <row r="312" s="1" customFormat="1" ht="15.75" customHeight="1" spans="5:5">
      <c r="E312" s="2"/>
    </row>
    <row r="313" s="1" customFormat="1" ht="15.75" customHeight="1" spans="5:5">
      <c r="E313" s="2"/>
    </row>
    <row r="314" s="1" customFormat="1" ht="15.75" customHeight="1" spans="5:5">
      <c r="E314" s="2"/>
    </row>
    <row r="315" s="1" customFormat="1" ht="15.75" customHeight="1" spans="5:5">
      <c r="E315" s="2"/>
    </row>
    <row r="316" s="1" customFormat="1" ht="15.75" customHeight="1" spans="5:5">
      <c r="E316" s="2"/>
    </row>
    <row r="317" s="1" customFormat="1" ht="15.75" customHeight="1" spans="5:5">
      <c r="E317" s="2"/>
    </row>
    <row r="318" s="1" customFormat="1" ht="15.75" customHeight="1" spans="5:5">
      <c r="E318" s="2"/>
    </row>
    <row r="319" s="1" customFormat="1" ht="15.75" customHeight="1" spans="5:5">
      <c r="E319" s="2"/>
    </row>
    <row r="320" s="1" customFormat="1" ht="15.75" customHeight="1" spans="5:5">
      <c r="E320" s="2"/>
    </row>
    <row r="321" s="1" customFormat="1" ht="15.75" customHeight="1" spans="5:5">
      <c r="E321" s="2"/>
    </row>
    <row r="322" s="1" customFormat="1" ht="15.75" customHeight="1" spans="5:5">
      <c r="E322" s="2"/>
    </row>
    <row r="323" s="1" customFormat="1" ht="15.75" customHeight="1" spans="5:5">
      <c r="E323" s="2"/>
    </row>
    <row r="324" s="1" customFormat="1" ht="15.75" customHeight="1" spans="5:5">
      <c r="E324" s="2"/>
    </row>
    <row r="325" s="1" customFormat="1" ht="15.75" customHeight="1" spans="5:5">
      <c r="E325" s="2"/>
    </row>
    <row r="326" s="1" customFormat="1" ht="15.75" customHeight="1" spans="5:5">
      <c r="E326" s="2"/>
    </row>
    <row r="327" s="1" customFormat="1" ht="15.75" customHeight="1" spans="5:5">
      <c r="E327" s="2"/>
    </row>
    <row r="328" s="1" customFormat="1" ht="15.75" customHeight="1" spans="5:5">
      <c r="E328" s="2"/>
    </row>
    <row r="329" s="1" customFormat="1" ht="15.75" customHeight="1" spans="5:5">
      <c r="E329" s="2"/>
    </row>
    <row r="330" s="1" customFormat="1" ht="15.75" customHeight="1" spans="5:5">
      <c r="E330" s="2"/>
    </row>
    <row r="331" s="1" customFormat="1" ht="15.75" customHeight="1" spans="5:5">
      <c r="E331" s="2"/>
    </row>
    <row r="332" s="1" customFormat="1" ht="15.75" customHeight="1" spans="5:5">
      <c r="E332" s="2"/>
    </row>
    <row r="333" s="1" customFormat="1" ht="15.75" customHeight="1" spans="5:5">
      <c r="E333" s="2"/>
    </row>
    <row r="334" s="1" customFormat="1" ht="15.75" customHeight="1" spans="5:5">
      <c r="E334" s="2"/>
    </row>
    <row r="335" s="1" customFormat="1" ht="15.75" customHeight="1" spans="5:5">
      <c r="E335" s="2"/>
    </row>
    <row r="336" s="1" customFormat="1" ht="15.75" customHeight="1" spans="5:5">
      <c r="E336" s="2"/>
    </row>
    <row r="337" s="1" customFormat="1" ht="15.75" customHeight="1" spans="5:5">
      <c r="E337" s="2"/>
    </row>
    <row r="338" s="1" customFormat="1" ht="15.75" customHeight="1" spans="5:5">
      <c r="E338" s="2"/>
    </row>
    <row r="339" s="1" customFormat="1" ht="15.75" customHeight="1" spans="5:5">
      <c r="E339" s="2"/>
    </row>
    <row r="340" s="1" customFormat="1" ht="15.75" customHeight="1" spans="5:5">
      <c r="E340" s="2"/>
    </row>
    <row r="341" s="1" customFormat="1" ht="15.75" customHeight="1" spans="5:5">
      <c r="E341" s="2"/>
    </row>
    <row r="342" s="1" customFormat="1" ht="15.75" customHeight="1" spans="5:5">
      <c r="E342" s="2"/>
    </row>
    <row r="343" s="1" customFormat="1" ht="15.75" customHeight="1" spans="5:5">
      <c r="E343" s="2"/>
    </row>
    <row r="344" s="1" customFormat="1" ht="15.75" customHeight="1" spans="5:5">
      <c r="E344" s="2"/>
    </row>
    <row r="345" s="1" customFormat="1" ht="15.75" customHeight="1" spans="5:5">
      <c r="E345" s="2"/>
    </row>
    <row r="346" s="1" customFormat="1" ht="15.75" customHeight="1" spans="5:5">
      <c r="E346" s="2"/>
    </row>
    <row r="347" s="1" customFormat="1" ht="15.75" customHeight="1" spans="5:5">
      <c r="E347" s="2"/>
    </row>
    <row r="348" s="1" customFormat="1" ht="15.75" customHeight="1" spans="5:5">
      <c r="E348" s="2"/>
    </row>
    <row r="349" s="1" customFormat="1" ht="15.75" customHeight="1" spans="5:5">
      <c r="E349" s="2"/>
    </row>
    <row r="350" s="1" customFormat="1" ht="15.75" customHeight="1" spans="5:5">
      <c r="E350" s="2"/>
    </row>
    <row r="351" s="1" customFormat="1" ht="15.75" customHeight="1" spans="5:5">
      <c r="E351" s="2"/>
    </row>
    <row r="352" s="1" customFormat="1" ht="15.75" customHeight="1" spans="5:5">
      <c r="E352" s="2"/>
    </row>
    <row r="353" s="1" customFormat="1" ht="15.75" customHeight="1" spans="5:5">
      <c r="E353" s="2"/>
    </row>
    <row r="354" s="1" customFormat="1" ht="15.75" customHeight="1" spans="5:5">
      <c r="E354" s="2"/>
    </row>
    <row r="355" s="1" customFormat="1" ht="15.75" customHeight="1" spans="5:5">
      <c r="E355" s="2"/>
    </row>
    <row r="356" s="1" customFormat="1" ht="15.75" customHeight="1" spans="5:5">
      <c r="E356" s="2"/>
    </row>
    <row r="357" s="1" customFormat="1" ht="15.75" customHeight="1" spans="5:5">
      <c r="E357" s="2"/>
    </row>
    <row r="358" s="1" customFormat="1" ht="15.75" customHeight="1" spans="5:5">
      <c r="E358" s="2"/>
    </row>
    <row r="359" s="1" customFormat="1" ht="15.75" customHeight="1" spans="5:5">
      <c r="E359" s="2"/>
    </row>
    <row r="360" s="1" customFormat="1" ht="15.75" customHeight="1" spans="5:5">
      <c r="E360" s="2"/>
    </row>
    <row r="361" s="1" customFormat="1" ht="15.75" customHeight="1" spans="5:5">
      <c r="E361" s="2"/>
    </row>
    <row r="362" s="1" customFormat="1" ht="15.75" customHeight="1" spans="5:5">
      <c r="E362" s="2"/>
    </row>
    <row r="363" s="1" customFormat="1" ht="15.75" customHeight="1" spans="5:5">
      <c r="E363" s="2"/>
    </row>
    <row r="364" s="1" customFormat="1" ht="15.75" customHeight="1" spans="5:5">
      <c r="E364" s="2"/>
    </row>
    <row r="365" s="1" customFormat="1" ht="15.75" customHeight="1" spans="5:5">
      <c r="E365" s="2"/>
    </row>
    <row r="366" s="1" customFormat="1" ht="15.75" customHeight="1" spans="5:5">
      <c r="E366" s="2"/>
    </row>
    <row r="367" s="1" customFormat="1" ht="15.75" customHeight="1" spans="5:5">
      <c r="E367" s="2"/>
    </row>
    <row r="368" s="1" customFormat="1" ht="15.75" customHeight="1" spans="5:5">
      <c r="E368" s="2"/>
    </row>
    <row r="369" s="1" customFormat="1" ht="15.75" customHeight="1" spans="5:5">
      <c r="E369" s="2"/>
    </row>
    <row r="370" s="1" customFormat="1" ht="15.75" customHeight="1" spans="5:5">
      <c r="E370" s="2"/>
    </row>
    <row r="371" s="1" customFormat="1" ht="15.75" customHeight="1" spans="5:5">
      <c r="E371" s="2"/>
    </row>
    <row r="372" s="1" customFormat="1" ht="15.75" customHeight="1" spans="5:5">
      <c r="E372" s="2"/>
    </row>
    <row r="373" s="1" customFormat="1" ht="15.75" customHeight="1" spans="5:5">
      <c r="E373" s="2"/>
    </row>
    <row r="374" s="1" customFormat="1" ht="15.75" customHeight="1" spans="5:5">
      <c r="E374" s="2"/>
    </row>
    <row r="375" s="1" customFormat="1" ht="15.75" customHeight="1" spans="5:5">
      <c r="E375" s="2"/>
    </row>
    <row r="376" s="1" customFormat="1" ht="15.75" customHeight="1" spans="5:5">
      <c r="E376" s="2"/>
    </row>
    <row r="377" s="1" customFormat="1" ht="15.75" customHeight="1" spans="5:5">
      <c r="E377" s="2"/>
    </row>
    <row r="378" s="1" customFormat="1" ht="15.75" customHeight="1" spans="5:5">
      <c r="E378" s="2"/>
    </row>
    <row r="379" s="1" customFormat="1" ht="15.75" customHeight="1" spans="5:5">
      <c r="E379" s="2"/>
    </row>
    <row r="380" s="1" customFormat="1" ht="15.75" customHeight="1" spans="5:5">
      <c r="E380" s="2"/>
    </row>
    <row r="381" s="1" customFormat="1" ht="15.75" customHeight="1" spans="5:5">
      <c r="E381" s="2"/>
    </row>
    <row r="382" s="1" customFormat="1" ht="15.75" customHeight="1" spans="5:5">
      <c r="E382" s="2"/>
    </row>
    <row r="383" s="1" customFormat="1" ht="15.75" customHeight="1" spans="5:5">
      <c r="E383" s="2"/>
    </row>
    <row r="384" s="1" customFormat="1" ht="15.75" customHeight="1" spans="5:5">
      <c r="E384" s="2"/>
    </row>
    <row r="385" s="1" customFormat="1" ht="15.75" customHeight="1" spans="5:5">
      <c r="E385" s="2"/>
    </row>
    <row r="386" s="1" customFormat="1" ht="15.75" customHeight="1" spans="5:5">
      <c r="E386" s="2"/>
    </row>
    <row r="387" s="1" customFormat="1" ht="15.75" customHeight="1" spans="5:5">
      <c r="E387" s="2"/>
    </row>
    <row r="388" s="1" customFormat="1" ht="15.75" customHeight="1" spans="5:5">
      <c r="E388" s="2"/>
    </row>
    <row r="389" s="1" customFormat="1" ht="15.75" customHeight="1" spans="5:5">
      <c r="E389" s="2"/>
    </row>
    <row r="390" s="1" customFormat="1" ht="15.75" customHeight="1" spans="5:5">
      <c r="E390" s="2"/>
    </row>
    <row r="391" s="1" customFormat="1" ht="15.75" customHeight="1" spans="5:5">
      <c r="E391" s="2"/>
    </row>
    <row r="392" s="1" customFormat="1" ht="15.75" customHeight="1" spans="5:5">
      <c r="E392" s="2"/>
    </row>
    <row r="393" s="1" customFormat="1" ht="15.75" customHeight="1" spans="5:5">
      <c r="E393" s="2"/>
    </row>
    <row r="394" s="1" customFormat="1" ht="15.75" customHeight="1" spans="5:5">
      <c r="E394" s="2"/>
    </row>
    <row r="395" s="1" customFormat="1" ht="15.75" customHeight="1" spans="5:5">
      <c r="E395" s="2"/>
    </row>
    <row r="396" s="1" customFormat="1" ht="15.75" customHeight="1" spans="5:5">
      <c r="E396" s="2"/>
    </row>
    <row r="397" s="1" customFormat="1" ht="15.75" customHeight="1" spans="5:5">
      <c r="E397" s="2"/>
    </row>
    <row r="398" s="1" customFormat="1" ht="15.75" customHeight="1" spans="5:5">
      <c r="E398" s="2"/>
    </row>
    <row r="399" s="1" customFormat="1" ht="15.75" customHeight="1" spans="5:5">
      <c r="E399" s="2"/>
    </row>
    <row r="400" s="1" customFormat="1" ht="15.75" customHeight="1" spans="5:5">
      <c r="E400" s="2"/>
    </row>
    <row r="401" s="1" customFormat="1" ht="15.75" customHeight="1" spans="5:5">
      <c r="E401" s="2"/>
    </row>
    <row r="402" s="1" customFormat="1" ht="15.75" customHeight="1" spans="5:5">
      <c r="E402" s="2"/>
    </row>
    <row r="403" s="1" customFormat="1" ht="15.75" customHeight="1" spans="5:5">
      <c r="E403" s="2"/>
    </row>
    <row r="404" s="1" customFormat="1" ht="15.75" customHeight="1" spans="5:5">
      <c r="E404" s="2"/>
    </row>
    <row r="405" s="1" customFormat="1" ht="15.75" customHeight="1" spans="5:5">
      <c r="E405" s="2"/>
    </row>
    <row r="406" s="1" customFormat="1" ht="15.75" customHeight="1" spans="5:5">
      <c r="E406" s="2"/>
    </row>
    <row r="407" s="1" customFormat="1" ht="15.75" customHeight="1" spans="5:5">
      <c r="E407" s="2"/>
    </row>
    <row r="408" s="1" customFormat="1" ht="15.75" customHeight="1" spans="5:5">
      <c r="E408" s="2"/>
    </row>
    <row r="409" s="1" customFormat="1" ht="15.75" customHeight="1" spans="5:5">
      <c r="E409" s="2"/>
    </row>
    <row r="410" s="1" customFormat="1" ht="15.75" customHeight="1" spans="5:5">
      <c r="E410" s="2"/>
    </row>
    <row r="411" s="1" customFormat="1" ht="15.75" customHeight="1" spans="5:5">
      <c r="E411" s="2"/>
    </row>
    <row r="412" s="1" customFormat="1" ht="15.75" customHeight="1" spans="5:5">
      <c r="E412" s="2"/>
    </row>
    <row r="413" s="1" customFormat="1" ht="15.75" customHeight="1" spans="5:5">
      <c r="E413" s="2"/>
    </row>
    <row r="414" s="1" customFormat="1" ht="15.75" customHeight="1" spans="5:5">
      <c r="E414" s="2"/>
    </row>
    <row r="415" s="1" customFormat="1" ht="15.75" customHeight="1" spans="5:5">
      <c r="E415" s="2"/>
    </row>
    <row r="416" s="1" customFormat="1" ht="15.75" customHeight="1" spans="5:5">
      <c r="E416" s="2"/>
    </row>
    <row r="417" s="1" customFormat="1" ht="15.75" customHeight="1" spans="5:5">
      <c r="E417" s="2"/>
    </row>
    <row r="418" s="1" customFormat="1" ht="15.75" customHeight="1" spans="5:5">
      <c r="E418" s="2"/>
    </row>
    <row r="419" s="1" customFormat="1" ht="15.75" customHeight="1" spans="5:5">
      <c r="E419" s="2"/>
    </row>
    <row r="420" s="1" customFormat="1" ht="15.75" customHeight="1" spans="5:5">
      <c r="E420" s="2"/>
    </row>
    <row r="421" s="1" customFormat="1" ht="15.75" customHeight="1" spans="5:5">
      <c r="E421" s="2"/>
    </row>
    <row r="422" s="1" customFormat="1" ht="15.75" customHeight="1" spans="5:5">
      <c r="E422" s="2"/>
    </row>
    <row r="423" s="1" customFormat="1" ht="15.75" customHeight="1" spans="5:5">
      <c r="E423" s="2"/>
    </row>
    <row r="424" s="1" customFormat="1" ht="15.75" customHeight="1" spans="5:5">
      <c r="E424" s="2"/>
    </row>
    <row r="425" s="1" customFormat="1" ht="15.75" customHeight="1" spans="5:5">
      <c r="E425" s="2"/>
    </row>
    <row r="426" s="1" customFormat="1" ht="15.75" customHeight="1" spans="5:5">
      <c r="E426" s="2"/>
    </row>
    <row r="427" s="1" customFormat="1" ht="15.75" customHeight="1" spans="5:5">
      <c r="E427" s="2"/>
    </row>
    <row r="428" s="1" customFormat="1" ht="15.75" customHeight="1" spans="5:5">
      <c r="E428" s="2"/>
    </row>
    <row r="429" s="1" customFormat="1" ht="15.75" customHeight="1" spans="5:5">
      <c r="E429" s="2"/>
    </row>
    <row r="430" s="1" customFormat="1" ht="15.75" customHeight="1" spans="5:5">
      <c r="E430" s="2"/>
    </row>
    <row r="431" s="1" customFormat="1" ht="15.75" customHeight="1" spans="5:5">
      <c r="E431" s="2"/>
    </row>
    <row r="432" s="1" customFormat="1" ht="15.75" customHeight="1" spans="5:5">
      <c r="E432" s="2"/>
    </row>
    <row r="433" s="1" customFormat="1" ht="15.75" customHeight="1" spans="5:5">
      <c r="E433" s="2"/>
    </row>
    <row r="434" s="1" customFormat="1" ht="15.75" customHeight="1" spans="5:5">
      <c r="E434" s="2"/>
    </row>
    <row r="435" s="1" customFormat="1" ht="15.75" customHeight="1" spans="5:5">
      <c r="E435" s="2"/>
    </row>
    <row r="436" s="1" customFormat="1" ht="15.75" customHeight="1" spans="5:5">
      <c r="E436" s="2"/>
    </row>
    <row r="437" s="1" customFormat="1" ht="15.75" customHeight="1" spans="5:5">
      <c r="E437" s="2"/>
    </row>
    <row r="438" s="1" customFormat="1" ht="15.75" customHeight="1" spans="5:5">
      <c r="E438" s="2"/>
    </row>
    <row r="439" s="1" customFormat="1" ht="15.75" customHeight="1" spans="5:5">
      <c r="E439" s="2"/>
    </row>
    <row r="440" s="1" customFormat="1" ht="15.75" customHeight="1" spans="5:5">
      <c r="E440" s="2"/>
    </row>
    <row r="441" s="1" customFormat="1" ht="15.75" customHeight="1" spans="5:5">
      <c r="E441" s="2"/>
    </row>
    <row r="442" s="1" customFormat="1" ht="15.75" customHeight="1" spans="5:5">
      <c r="E442" s="2"/>
    </row>
    <row r="443" s="1" customFormat="1" ht="15.75" customHeight="1" spans="5:5">
      <c r="E443" s="2"/>
    </row>
    <row r="444" s="1" customFormat="1" ht="15.75" customHeight="1" spans="5:5">
      <c r="E444" s="2"/>
    </row>
    <row r="445" s="1" customFormat="1" ht="15.75" customHeight="1" spans="5:5">
      <c r="E445" s="2"/>
    </row>
    <row r="446" s="1" customFormat="1" ht="15.75" customHeight="1" spans="5:5">
      <c r="E446" s="2"/>
    </row>
    <row r="447" s="1" customFormat="1" ht="15.75" customHeight="1" spans="5:5">
      <c r="E447" s="2"/>
    </row>
    <row r="448" s="1" customFormat="1" ht="15.75" customHeight="1" spans="5:5">
      <c r="E448" s="2"/>
    </row>
    <row r="449" s="1" customFormat="1" ht="15.75" customHeight="1" spans="5:5">
      <c r="E449" s="2"/>
    </row>
    <row r="450" s="1" customFormat="1" ht="15.75" customHeight="1" spans="5:5">
      <c r="E450" s="2"/>
    </row>
    <row r="451" s="1" customFormat="1" ht="15.75" customHeight="1" spans="5:5">
      <c r="E451" s="2"/>
    </row>
    <row r="452" s="1" customFormat="1" ht="15.75" customHeight="1" spans="5:5">
      <c r="E452" s="2"/>
    </row>
    <row r="453" s="1" customFormat="1" ht="15.75" customHeight="1" spans="5:5">
      <c r="E453" s="2"/>
    </row>
    <row r="454" s="1" customFormat="1" ht="15.75" customHeight="1" spans="5:5">
      <c r="E454" s="2"/>
    </row>
    <row r="455" s="1" customFormat="1" ht="15.75" customHeight="1" spans="5:5">
      <c r="E455" s="2"/>
    </row>
    <row r="456" s="1" customFormat="1" ht="15.75" customHeight="1" spans="5:5">
      <c r="E456" s="2"/>
    </row>
    <row r="457" s="1" customFormat="1" ht="15.75" customHeight="1" spans="5:5">
      <c r="E457" s="2"/>
    </row>
    <row r="458" s="1" customFormat="1" ht="15.75" customHeight="1" spans="5:5">
      <c r="E458" s="2"/>
    </row>
    <row r="459" s="1" customFormat="1" ht="15.75" customHeight="1" spans="5:5">
      <c r="E459" s="2"/>
    </row>
    <row r="460" s="1" customFormat="1" ht="15.75" customHeight="1" spans="5:5">
      <c r="E460" s="2"/>
    </row>
    <row r="461" s="1" customFormat="1" ht="15.75" customHeight="1" spans="5:5">
      <c r="E461" s="2"/>
    </row>
    <row r="462" s="1" customFormat="1" ht="15.75" customHeight="1" spans="5:5">
      <c r="E462" s="2"/>
    </row>
    <row r="463" s="1" customFormat="1" ht="15.75" customHeight="1" spans="5:5">
      <c r="E463" s="2"/>
    </row>
    <row r="464" s="1" customFormat="1" ht="15.75" customHeight="1" spans="5:5">
      <c r="E464" s="2"/>
    </row>
    <row r="465" s="1" customFormat="1" ht="15.75" customHeight="1" spans="5:5">
      <c r="E465" s="2"/>
    </row>
    <row r="466" s="1" customFormat="1" ht="15.75" customHeight="1" spans="5:5">
      <c r="E466" s="2"/>
    </row>
    <row r="467" s="1" customFormat="1" ht="15.75" customHeight="1" spans="5:5">
      <c r="E467" s="2"/>
    </row>
    <row r="468" s="1" customFormat="1" ht="15.75" customHeight="1" spans="5:5">
      <c r="E468" s="2"/>
    </row>
    <row r="469" s="1" customFormat="1" ht="15.75" customHeight="1" spans="5:5">
      <c r="E469" s="2"/>
    </row>
    <row r="470" s="1" customFormat="1" ht="15.75" customHeight="1" spans="5:5">
      <c r="E470" s="2"/>
    </row>
    <row r="471" s="1" customFormat="1" ht="15.75" customHeight="1" spans="5:5">
      <c r="E471" s="2"/>
    </row>
    <row r="472" s="1" customFormat="1" ht="15.75" customHeight="1" spans="5:5">
      <c r="E472" s="2"/>
    </row>
    <row r="473" s="1" customFormat="1" ht="15.75" customHeight="1" spans="5:5">
      <c r="E473" s="2"/>
    </row>
    <row r="474" s="1" customFormat="1" ht="15.75" customHeight="1" spans="5:5">
      <c r="E474" s="2"/>
    </row>
    <row r="475" s="1" customFormat="1" ht="15.75" customHeight="1" spans="5:5">
      <c r="E475" s="2"/>
    </row>
    <row r="476" s="1" customFormat="1" ht="15.75" customHeight="1" spans="5:5">
      <c r="E476" s="2"/>
    </row>
    <row r="477" s="1" customFormat="1" ht="15.75" customHeight="1" spans="5:5">
      <c r="E477" s="2"/>
    </row>
    <row r="478" s="1" customFormat="1" ht="15.75" customHeight="1" spans="5:5">
      <c r="E478" s="2"/>
    </row>
    <row r="479" s="1" customFormat="1" ht="15.75" customHeight="1" spans="5:5">
      <c r="E479" s="2"/>
    </row>
    <row r="480" s="1" customFormat="1" ht="15.75" customHeight="1" spans="5:5">
      <c r="E480" s="2"/>
    </row>
    <row r="481" s="1" customFormat="1" ht="15.75" customHeight="1" spans="5:5">
      <c r="E481" s="2"/>
    </row>
    <row r="482" s="1" customFormat="1" ht="15.75" customHeight="1" spans="5:5">
      <c r="E482" s="2"/>
    </row>
    <row r="483" s="1" customFormat="1" ht="15.75" customHeight="1" spans="5:5">
      <c r="E483" s="2"/>
    </row>
    <row r="484" s="1" customFormat="1" ht="15.75" customHeight="1" spans="5:5">
      <c r="E484" s="2"/>
    </row>
    <row r="485" s="1" customFormat="1" ht="15.75" customHeight="1" spans="5:5">
      <c r="E485" s="2"/>
    </row>
    <row r="486" s="1" customFormat="1" ht="15.75" customHeight="1" spans="5:5">
      <c r="E486" s="2"/>
    </row>
    <row r="487" s="1" customFormat="1" ht="15.75" customHeight="1" spans="5:5">
      <c r="E487" s="2"/>
    </row>
    <row r="488" s="1" customFormat="1" ht="15.75" customHeight="1" spans="5:5">
      <c r="E488" s="2"/>
    </row>
    <row r="489" s="1" customFormat="1" ht="15.75" customHeight="1" spans="5:5">
      <c r="E489" s="2"/>
    </row>
    <row r="490" s="1" customFormat="1" ht="15.75" customHeight="1" spans="5:5">
      <c r="E490" s="2"/>
    </row>
    <row r="491" s="1" customFormat="1" ht="15.75" customHeight="1" spans="5:5">
      <c r="E491" s="2"/>
    </row>
    <row r="492" s="1" customFormat="1" ht="15.75" customHeight="1" spans="5:5">
      <c r="E492" s="2"/>
    </row>
    <row r="493" s="1" customFormat="1" ht="15.75" customHeight="1" spans="5:5">
      <c r="E493" s="2"/>
    </row>
    <row r="494" s="1" customFormat="1" ht="15.75" customHeight="1" spans="5:5">
      <c r="E494" s="2"/>
    </row>
    <row r="495" s="1" customFormat="1" ht="15.75" customHeight="1" spans="5:5">
      <c r="E495" s="2"/>
    </row>
    <row r="496" s="1" customFormat="1" ht="15.75" customHeight="1" spans="5:5">
      <c r="E496" s="2"/>
    </row>
    <row r="497" s="1" customFormat="1" ht="15.75" customHeight="1" spans="5:5">
      <c r="E497" s="2"/>
    </row>
    <row r="498" s="1" customFormat="1" ht="15.75" customHeight="1" spans="5:5">
      <c r="E498" s="2"/>
    </row>
    <row r="499" s="1" customFormat="1" ht="15.75" customHeight="1" spans="5:5">
      <c r="E499" s="2"/>
    </row>
    <row r="500" s="1" customFormat="1" ht="15.75" customHeight="1" spans="5:5">
      <c r="E500" s="2"/>
    </row>
    <row r="501" s="1" customFormat="1" ht="15.75" customHeight="1" spans="5:5">
      <c r="E501" s="2"/>
    </row>
    <row r="502" s="1" customFormat="1" ht="15.75" customHeight="1" spans="5:5">
      <c r="E502" s="2"/>
    </row>
    <row r="503" s="1" customFormat="1" ht="15.75" customHeight="1" spans="5:5">
      <c r="E503" s="2"/>
    </row>
    <row r="504" s="1" customFormat="1" ht="15.75" customHeight="1" spans="5:5">
      <c r="E504" s="2"/>
    </row>
    <row r="505" s="1" customFormat="1" ht="15.75" customHeight="1" spans="5:5">
      <c r="E505" s="2"/>
    </row>
    <row r="506" s="1" customFormat="1" ht="15.75" customHeight="1" spans="5:5">
      <c r="E506" s="2"/>
    </row>
    <row r="507" s="1" customFormat="1" ht="15.75" customHeight="1" spans="5:5">
      <c r="E507" s="2"/>
    </row>
    <row r="508" s="1" customFormat="1" ht="15.75" customHeight="1" spans="5:5">
      <c r="E508" s="2"/>
    </row>
    <row r="509" s="1" customFormat="1" ht="15.75" customHeight="1" spans="5:5">
      <c r="E509" s="2"/>
    </row>
    <row r="510" s="1" customFormat="1" ht="15.75" customHeight="1" spans="5:5">
      <c r="E510" s="2"/>
    </row>
    <row r="511" s="1" customFormat="1" ht="15.75" customHeight="1" spans="5:5">
      <c r="E511" s="2"/>
    </row>
    <row r="512" s="1" customFormat="1" ht="15.75" customHeight="1" spans="5:5">
      <c r="E512" s="2"/>
    </row>
    <row r="513" s="1" customFormat="1" ht="15.75" customHeight="1" spans="5:5">
      <c r="E513" s="2"/>
    </row>
    <row r="514" s="1" customFormat="1" ht="15.75" customHeight="1" spans="5:5">
      <c r="E514" s="2"/>
    </row>
    <row r="515" s="1" customFormat="1" ht="15.75" customHeight="1" spans="5:5">
      <c r="E515" s="2"/>
    </row>
    <row r="516" s="1" customFormat="1" ht="15.75" customHeight="1" spans="5:5">
      <c r="E516" s="2"/>
    </row>
    <row r="517" s="1" customFormat="1" ht="15.75" customHeight="1" spans="5:5">
      <c r="E517" s="2"/>
    </row>
    <row r="518" s="1" customFormat="1" ht="15.75" customHeight="1" spans="5:5">
      <c r="E518" s="2"/>
    </row>
    <row r="519" s="1" customFormat="1" ht="15.75" customHeight="1" spans="5:5">
      <c r="E519" s="2"/>
    </row>
    <row r="520" s="1" customFormat="1" ht="15.75" customHeight="1" spans="5:5">
      <c r="E520" s="2"/>
    </row>
    <row r="521" s="1" customFormat="1" ht="15.75" customHeight="1" spans="5:5">
      <c r="E521" s="2"/>
    </row>
    <row r="522" s="1" customFormat="1" ht="15.75" customHeight="1" spans="5:5">
      <c r="E522" s="2"/>
    </row>
    <row r="523" s="1" customFormat="1" ht="15.75" customHeight="1" spans="5:5">
      <c r="E523" s="2"/>
    </row>
    <row r="524" s="1" customFormat="1" ht="15.75" customHeight="1" spans="5:5">
      <c r="E524" s="2"/>
    </row>
    <row r="525" s="1" customFormat="1" ht="15.75" customHeight="1" spans="5:5">
      <c r="E525" s="2"/>
    </row>
    <row r="526" s="1" customFormat="1" ht="15.75" customHeight="1" spans="5:5">
      <c r="E526" s="2"/>
    </row>
    <row r="527" s="1" customFormat="1" ht="15.75" customHeight="1" spans="5:5">
      <c r="E527" s="2"/>
    </row>
    <row r="528" s="1" customFormat="1" ht="15.75" customHeight="1" spans="5:5">
      <c r="E528" s="2"/>
    </row>
    <row r="529" s="1" customFormat="1" ht="15.75" customHeight="1" spans="5:5">
      <c r="E529" s="2"/>
    </row>
    <row r="530" s="1" customFormat="1" ht="15.75" customHeight="1" spans="5:5">
      <c r="E530" s="2"/>
    </row>
    <row r="531" s="1" customFormat="1" ht="15.75" customHeight="1" spans="5:5">
      <c r="E531" s="2"/>
    </row>
    <row r="532" s="1" customFormat="1" ht="15.75" customHeight="1" spans="5:5">
      <c r="E532" s="2"/>
    </row>
    <row r="533" s="1" customFormat="1" ht="15.75" customHeight="1" spans="5:5">
      <c r="E533" s="2"/>
    </row>
    <row r="534" s="1" customFormat="1" ht="15.75" customHeight="1" spans="5:5">
      <c r="E534" s="2"/>
    </row>
    <row r="535" s="1" customFormat="1" ht="15.75" customHeight="1" spans="5:5">
      <c r="E535" s="2"/>
    </row>
    <row r="536" s="1" customFormat="1" ht="15.75" customHeight="1" spans="5:5">
      <c r="E536" s="2"/>
    </row>
    <row r="537" s="1" customFormat="1" ht="15.75" customHeight="1" spans="5:5">
      <c r="E537" s="2"/>
    </row>
    <row r="538" s="1" customFormat="1" ht="15.75" customHeight="1" spans="5:5">
      <c r="E538" s="2"/>
    </row>
    <row r="539" s="1" customFormat="1" ht="15.75" customHeight="1" spans="5:5">
      <c r="E539" s="2"/>
    </row>
    <row r="540" s="1" customFormat="1" ht="15.75" customHeight="1" spans="5:5">
      <c r="E540" s="2"/>
    </row>
    <row r="541" s="1" customFormat="1" ht="15.75" customHeight="1" spans="5:5">
      <c r="E541" s="2"/>
    </row>
    <row r="542" s="1" customFormat="1" ht="15.75" customHeight="1" spans="5:5">
      <c r="E542" s="2"/>
    </row>
    <row r="543" s="1" customFormat="1" ht="15.75" customHeight="1" spans="5:5">
      <c r="E543" s="2"/>
    </row>
    <row r="544" s="1" customFormat="1" ht="15.75" customHeight="1" spans="5:5">
      <c r="E544" s="2"/>
    </row>
    <row r="545" s="1" customFormat="1" ht="15.75" customHeight="1" spans="5:5">
      <c r="E545" s="2"/>
    </row>
    <row r="546" s="1" customFormat="1" ht="15.75" customHeight="1" spans="5:5">
      <c r="E546" s="2"/>
    </row>
    <row r="547" s="1" customFormat="1" ht="15.75" customHeight="1" spans="5:5">
      <c r="E547" s="2"/>
    </row>
    <row r="548" s="1" customFormat="1" ht="15.75" customHeight="1" spans="5:5">
      <c r="E548" s="2"/>
    </row>
    <row r="549" s="1" customFormat="1" ht="15.75" customHeight="1" spans="5:5">
      <c r="E549" s="2"/>
    </row>
    <row r="550" s="1" customFormat="1" ht="15.75" customHeight="1" spans="5:5">
      <c r="E550" s="2"/>
    </row>
    <row r="551" s="1" customFormat="1" ht="15.75" customHeight="1" spans="5:5">
      <c r="E551" s="2"/>
    </row>
    <row r="552" s="1" customFormat="1" ht="15.75" customHeight="1" spans="5:5">
      <c r="E552" s="2"/>
    </row>
    <row r="553" s="1" customFormat="1" ht="15.75" customHeight="1" spans="5:5">
      <c r="E553" s="2"/>
    </row>
    <row r="554" s="1" customFormat="1" ht="15.75" customHeight="1" spans="5:5">
      <c r="E554" s="2"/>
    </row>
    <row r="555" s="1" customFormat="1" ht="15.75" customHeight="1" spans="5:5">
      <c r="E555" s="2"/>
    </row>
    <row r="556" s="1" customFormat="1" ht="15.75" customHeight="1" spans="5:5">
      <c r="E556" s="2"/>
    </row>
    <row r="557" s="1" customFormat="1" ht="15.75" customHeight="1" spans="5:5">
      <c r="E557" s="2"/>
    </row>
    <row r="558" s="1" customFormat="1" ht="15.75" customHeight="1" spans="5:5">
      <c r="E558" s="2"/>
    </row>
    <row r="559" s="1" customFormat="1" ht="15.75" customHeight="1" spans="5:5">
      <c r="E559" s="2"/>
    </row>
    <row r="560" s="1" customFormat="1" ht="15.75" customHeight="1" spans="5:5">
      <c r="E560" s="2"/>
    </row>
    <row r="561" s="1" customFormat="1" ht="15.75" customHeight="1" spans="5:5">
      <c r="E561" s="2"/>
    </row>
    <row r="562" s="1" customFormat="1" ht="15.75" customHeight="1" spans="5:5">
      <c r="E562" s="2"/>
    </row>
    <row r="563" s="1" customFormat="1" ht="15.75" customHeight="1" spans="5:5">
      <c r="E563" s="2"/>
    </row>
    <row r="564" s="1" customFormat="1" ht="15.75" customHeight="1" spans="5:5">
      <c r="E564" s="2"/>
    </row>
    <row r="565" s="1" customFormat="1" ht="15.75" customHeight="1" spans="5:5">
      <c r="E565" s="2"/>
    </row>
    <row r="566" s="1" customFormat="1" ht="15.75" customHeight="1" spans="5:5">
      <c r="E566" s="2"/>
    </row>
    <row r="567" s="1" customFormat="1" ht="15.75" customHeight="1" spans="5:5">
      <c r="E567" s="2"/>
    </row>
    <row r="568" s="1" customFormat="1" ht="15.75" customHeight="1" spans="5:5">
      <c r="E568" s="2"/>
    </row>
    <row r="569" s="1" customFormat="1" ht="15.75" customHeight="1" spans="5:5">
      <c r="E569" s="2"/>
    </row>
    <row r="570" s="1" customFormat="1" ht="15.75" customHeight="1" spans="5:5">
      <c r="E570" s="2"/>
    </row>
    <row r="571" s="1" customFormat="1" ht="15.75" customHeight="1" spans="5:5">
      <c r="E571" s="2"/>
    </row>
    <row r="572" s="1" customFormat="1" ht="15.75" customHeight="1" spans="5:5">
      <c r="E572" s="2"/>
    </row>
    <row r="573" s="1" customFormat="1" ht="15.75" customHeight="1" spans="5:5">
      <c r="E573" s="2"/>
    </row>
    <row r="574" s="1" customFormat="1" ht="15.75" customHeight="1" spans="5:5">
      <c r="E574" s="2"/>
    </row>
    <row r="575" s="1" customFormat="1" ht="15.75" customHeight="1" spans="5:5">
      <c r="E575" s="2"/>
    </row>
    <row r="576" s="1" customFormat="1" ht="15.75" customHeight="1" spans="5:5">
      <c r="E576" s="2"/>
    </row>
    <row r="577" s="1" customFormat="1" ht="15.75" customHeight="1" spans="5:5">
      <c r="E577" s="2"/>
    </row>
    <row r="578" s="1" customFormat="1" ht="15.75" customHeight="1" spans="5:5">
      <c r="E578" s="2"/>
    </row>
    <row r="579" s="1" customFormat="1" ht="15.75" customHeight="1" spans="5:5">
      <c r="E579" s="2"/>
    </row>
    <row r="580" s="1" customFormat="1" ht="15.75" customHeight="1" spans="5:5">
      <c r="E580" s="2"/>
    </row>
    <row r="581" s="1" customFormat="1" ht="15.75" customHeight="1" spans="5:5">
      <c r="E581" s="2"/>
    </row>
    <row r="582" s="1" customFormat="1" ht="15.75" customHeight="1" spans="5:5">
      <c r="E582" s="2"/>
    </row>
    <row r="583" s="1" customFormat="1" ht="15.75" customHeight="1" spans="5:5">
      <c r="E583" s="2"/>
    </row>
    <row r="584" s="1" customFormat="1" ht="15.75" customHeight="1" spans="5:5">
      <c r="E584" s="2"/>
    </row>
    <row r="585" s="1" customFormat="1" ht="15.75" customHeight="1" spans="5:5">
      <c r="E585" s="2"/>
    </row>
    <row r="586" s="1" customFormat="1" ht="15.75" customHeight="1" spans="5:5">
      <c r="E586" s="2"/>
    </row>
    <row r="587" s="1" customFormat="1" ht="15.75" customHeight="1" spans="5:5">
      <c r="E587" s="2"/>
    </row>
    <row r="588" s="1" customFormat="1" ht="15.75" customHeight="1" spans="5:5">
      <c r="E588" s="2"/>
    </row>
    <row r="589" s="1" customFormat="1" ht="15.75" customHeight="1" spans="5:5">
      <c r="E589" s="2"/>
    </row>
    <row r="590" s="1" customFormat="1" ht="15.75" customHeight="1" spans="5:5">
      <c r="E590" s="2"/>
    </row>
    <row r="591" s="1" customFormat="1" ht="15.75" customHeight="1" spans="5:5">
      <c r="E591" s="2"/>
    </row>
    <row r="592" s="1" customFormat="1" ht="15.75" customHeight="1" spans="5:5">
      <c r="E592" s="2"/>
    </row>
    <row r="593" s="1" customFormat="1" ht="15.75" customHeight="1" spans="5:5">
      <c r="E593" s="2"/>
    </row>
    <row r="594" s="1" customFormat="1" ht="15.75" customHeight="1" spans="5:5">
      <c r="E594" s="2"/>
    </row>
    <row r="595" s="1" customFormat="1" ht="15.75" customHeight="1" spans="5:5">
      <c r="E595" s="2"/>
    </row>
    <row r="596" s="1" customFormat="1" ht="15.75" customHeight="1" spans="5:5">
      <c r="E596" s="2"/>
    </row>
    <row r="597" s="1" customFormat="1" ht="15.75" customHeight="1" spans="5:5">
      <c r="E597" s="2"/>
    </row>
    <row r="598" s="1" customFormat="1" ht="15.75" customHeight="1" spans="5:5">
      <c r="E598" s="2"/>
    </row>
    <row r="599" s="1" customFormat="1" ht="15.75" customHeight="1" spans="5:5">
      <c r="E599" s="2"/>
    </row>
    <row r="600" s="1" customFormat="1" ht="15.75" customHeight="1" spans="5:5">
      <c r="E600" s="2"/>
    </row>
    <row r="601" s="1" customFormat="1" ht="15.75" customHeight="1" spans="5:5">
      <c r="E601" s="2"/>
    </row>
    <row r="602" s="1" customFormat="1" ht="15.75" customHeight="1" spans="5:5">
      <c r="E602" s="2"/>
    </row>
    <row r="603" s="1" customFormat="1" ht="15.75" customHeight="1" spans="5:5">
      <c r="E603" s="2"/>
    </row>
    <row r="604" s="1" customFormat="1" ht="15.75" customHeight="1" spans="5:5">
      <c r="E604" s="2"/>
    </row>
    <row r="605" s="1" customFormat="1" ht="15.75" customHeight="1" spans="5:5">
      <c r="E605" s="2"/>
    </row>
    <row r="606" s="1" customFormat="1" ht="15.75" customHeight="1" spans="5:5">
      <c r="E606" s="2"/>
    </row>
    <row r="607" s="1" customFormat="1" ht="15.75" customHeight="1" spans="5:5">
      <c r="E607" s="2"/>
    </row>
    <row r="608" s="1" customFormat="1" ht="15.75" customHeight="1" spans="5:5">
      <c r="E608" s="2"/>
    </row>
    <row r="609" s="1" customFormat="1" ht="15.75" customHeight="1" spans="5:5">
      <c r="E609" s="2"/>
    </row>
    <row r="610" s="1" customFormat="1" ht="15.75" customHeight="1" spans="5:5">
      <c r="E610" s="2"/>
    </row>
    <row r="611" s="1" customFormat="1" ht="15.75" customHeight="1" spans="5:5">
      <c r="E611" s="2"/>
    </row>
    <row r="612" s="1" customFormat="1" ht="15.75" customHeight="1" spans="5:5">
      <c r="E612" s="2"/>
    </row>
    <row r="613" s="1" customFormat="1" ht="15.75" customHeight="1" spans="5:5">
      <c r="E613" s="2"/>
    </row>
    <row r="614" s="1" customFormat="1" ht="15.75" customHeight="1" spans="5:5">
      <c r="E614" s="2"/>
    </row>
    <row r="615" s="1" customFormat="1" ht="15.75" customHeight="1" spans="5:5">
      <c r="E615" s="2"/>
    </row>
    <row r="616" s="1" customFormat="1" ht="15.75" customHeight="1" spans="5:5">
      <c r="E616" s="2"/>
    </row>
    <row r="617" s="1" customFormat="1" ht="15.75" customHeight="1" spans="5:5">
      <c r="E617" s="2"/>
    </row>
    <row r="618" s="1" customFormat="1" ht="15.75" customHeight="1" spans="5:5">
      <c r="E618" s="2"/>
    </row>
    <row r="619" s="1" customFormat="1" ht="15.75" customHeight="1" spans="5:5">
      <c r="E619" s="2"/>
    </row>
    <row r="620" s="1" customFormat="1" ht="15.75" customHeight="1" spans="5:5">
      <c r="E620" s="2"/>
    </row>
    <row r="621" s="1" customFormat="1" ht="15.75" customHeight="1" spans="5:5">
      <c r="E621" s="2"/>
    </row>
    <row r="622" s="1" customFormat="1" ht="15.75" customHeight="1" spans="5:5">
      <c r="E622" s="2"/>
    </row>
    <row r="623" s="1" customFormat="1" ht="15.75" customHeight="1" spans="5:5">
      <c r="E623" s="2"/>
    </row>
    <row r="624" s="1" customFormat="1" ht="15.75" customHeight="1" spans="5:5">
      <c r="E624" s="2"/>
    </row>
    <row r="625" s="1" customFormat="1" ht="15.75" customHeight="1" spans="5:5">
      <c r="E625" s="2"/>
    </row>
    <row r="626" s="1" customFormat="1" ht="15.75" customHeight="1" spans="5:5">
      <c r="E626" s="2"/>
    </row>
    <row r="627" s="1" customFormat="1" ht="15.75" customHeight="1" spans="5:5">
      <c r="E627" s="2"/>
    </row>
    <row r="628" s="1" customFormat="1" ht="15.75" customHeight="1" spans="5:5">
      <c r="E628" s="2"/>
    </row>
    <row r="629" s="1" customFormat="1" ht="15.75" customHeight="1" spans="5:5">
      <c r="E629" s="2"/>
    </row>
    <row r="630" s="1" customFormat="1" ht="15.75" customHeight="1" spans="5:5">
      <c r="E630" s="2"/>
    </row>
    <row r="631" s="1" customFormat="1" ht="15.75" customHeight="1" spans="5:5">
      <c r="E631" s="2"/>
    </row>
    <row r="632" s="1" customFormat="1" ht="15.75" customHeight="1" spans="5:5">
      <c r="E632" s="2"/>
    </row>
    <row r="633" s="1" customFormat="1" ht="15.75" customHeight="1" spans="5:5">
      <c r="E633" s="2"/>
    </row>
    <row r="634" s="1" customFormat="1" ht="15.75" customHeight="1" spans="5:5">
      <c r="E634" s="2"/>
    </row>
    <row r="635" s="1" customFormat="1" ht="15.75" customHeight="1" spans="5:5">
      <c r="E635" s="2"/>
    </row>
    <row r="636" s="1" customFormat="1" ht="15.75" customHeight="1" spans="5:5">
      <c r="E636" s="2"/>
    </row>
    <row r="637" s="1" customFormat="1" ht="15.75" customHeight="1" spans="5:5">
      <c r="E637" s="2"/>
    </row>
    <row r="638" s="1" customFormat="1" ht="15.75" customHeight="1" spans="5:5">
      <c r="E638" s="2"/>
    </row>
    <row r="639" s="1" customFormat="1" ht="15.75" customHeight="1" spans="5:5">
      <c r="E639" s="2"/>
    </row>
    <row r="640" s="1" customFormat="1" ht="15.75" customHeight="1" spans="5:5">
      <c r="E640" s="2"/>
    </row>
    <row r="641" s="1" customFormat="1" ht="15.75" customHeight="1" spans="5:5">
      <c r="E641" s="2"/>
    </row>
    <row r="642" s="1" customFormat="1" ht="15.75" customHeight="1" spans="5:5">
      <c r="E642" s="2"/>
    </row>
    <row r="643" s="1" customFormat="1" ht="15.75" customHeight="1" spans="5:5">
      <c r="E643" s="2"/>
    </row>
    <row r="644" s="1" customFormat="1" ht="15.75" customHeight="1" spans="5:5">
      <c r="E644" s="2"/>
    </row>
    <row r="645" s="1" customFormat="1" ht="15.75" customHeight="1" spans="5:5">
      <c r="E645" s="2"/>
    </row>
    <row r="646" s="1" customFormat="1" ht="15.75" customHeight="1" spans="5:5">
      <c r="E646" s="2"/>
    </row>
    <row r="647" s="1" customFormat="1" ht="15.75" customHeight="1" spans="5:5">
      <c r="E647" s="2"/>
    </row>
    <row r="648" s="1" customFormat="1" ht="15.75" customHeight="1" spans="5:5">
      <c r="E648" s="2"/>
    </row>
    <row r="649" s="1" customFormat="1" ht="15.75" customHeight="1" spans="5:5">
      <c r="E649" s="2"/>
    </row>
    <row r="650" s="1" customFormat="1" ht="15.75" customHeight="1" spans="5:5">
      <c r="E650" s="2"/>
    </row>
    <row r="651" s="1" customFormat="1" ht="15.75" customHeight="1" spans="5:5">
      <c r="E651" s="2"/>
    </row>
    <row r="652" s="1" customFormat="1" ht="15.75" customHeight="1" spans="5:5">
      <c r="E652" s="2"/>
    </row>
    <row r="653" s="1" customFormat="1" ht="15.75" customHeight="1" spans="5:5">
      <c r="E653" s="2"/>
    </row>
    <row r="654" s="1" customFormat="1" ht="15.75" customHeight="1" spans="5:5">
      <c r="E654" s="2"/>
    </row>
    <row r="655" s="1" customFormat="1" ht="15.75" customHeight="1" spans="5:5">
      <c r="E655" s="2"/>
    </row>
    <row r="656" s="1" customFormat="1" ht="15.75" customHeight="1" spans="5:5">
      <c r="E656" s="2"/>
    </row>
    <row r="657" s="1" customFormat="1" ht="15.75" customHeight="1" spans="5:5">
      <c r="E657" s="2"/>
    </row>
    <row r="658" s="1" customFormat="1" ht="15.75" customHeight="1" spans="5:5">
      <c r="E658" s="2"/>
    </row>
    <row r="659" s="1" customFormat="1" ht="15.75" customHeight="1" spans="5:5">
      <c r="E659" s="2"/>
    </row>
    <row r="660" s="1" customFormat="1" ht="15.75" customHeight="1" spans="5:5">
      <c r="E660" s="2"/>
    </row>
    <row r="661" s="1" customFormat="1" ht="15.75" customHeight="1" spans="5:5">
      <c r="E661" s="2"/>
    </row>
    <row r="662" s="1" customFormat="1" ht="15.75" customHeight="1" spans="5:5">
      <c r="E662" s="2"/>
    </row>
    <row r="663" s="1" customFormat="1" ht="15.75" customHeight="1" spans="5:5">
      <c r="E663" s="2"/>
    </row>
    <row r="664" s="1" customFormat="1" ht="15.75" customHeight="1" spans="5:5">
      <c r="E664" s="2"/>
    </row>
    <row r="665" s="1" customFormat="1" ht="15.75" customHeight="1" spans="5:5">
      <c r="E665" s="2"/>
    </row>
    <row r="666" s="1" customFormat="1" ht="15.75" customHeight="1" spans="5:5">
      <c r="E666" s="2"/>
    </row>
    <row r="667" s="1" customFormat="1" ht="15.75" customHeight="1" spans="5:5">
      <c r="E667" s="2"/>
    </row>
    <row r="668" s="1" customFormat="1" ht="15.75" customHeight="1" spans="5:5">
      <c r="E668" s="2"/>
    </row>
    <row r="669" s="1" customFormat="1" ht="15.75" customHeight="1" spans="5:5">
      <c r="E669" s="2"/>
    </row>
    <row r="670" s="1" customFormat="1" ht="15.75" customHeight="1" spans="5:5">
      <c r="E670" s="2"/>
    </row>
    <row r="671" s="1" customFormat="1" ht="15.75" customHeight="1" spans="5:5">
      <c r="E671" s="2"/>
    </row>
    <row r="672" s="1" customFormat="1" ht="15.75" customHeight="1" spans="5:5">
      <c r="E672" s="2"/>
    </row>
    <row r="673" s="1" customFormat="1" ht="15.75" customHeight="1" spans="5:5">
      <c r="E673" s="2"/>
    </row>
    <row r="674" s="1" customFormat="1" ht="15.75" customHeight="1" spans="5:5">
      <c r="E674" s="2"/>
    </row>
    <row r="675" s="1" customFormat="1" ht="15.75" customHeight="1" spans="5:5">
      <c r="E675" s="2"/>
    </row>
    <row r="676" s="1" customFormat="1" ht="15.75" customHeight="1" spans="5:5">
      <c r="E676" s="2"/>
    </row>
    <row r="677" s="1" customFormat="1" ht="15.75" customHeight="1" spans="5:5">
      <c r="E677" s="2"/>
    </row>
    <row r="678" s="1" customFormat="1" ht="15.75" customHeight="1" spans="5:5">
      <c r="E678" s="2"/>
    </row>
    <row r="679" s="1" customFormat="1" ht="15.75" customHeight="1" spans="5:5">
      <c r="E679" s="2"/>
    </row>
    <row r="680" s="1" customFormat="1" ht="15.75" customHeight="1" spans="5:5">
      <c r="E680" s="2"/>
    </row>
    <row r="681" s="1" customFormat="1" ht="15.75" customHeight="1" spans="5:5">
      <c r="E681" s="2"/>
    </row>
    <row r="682" s="1" customFormat="1" ht="15.75" customHeight="1" spans="5:5">
      <c r="E682" s="2"/>
    </row>
    <row r="683" s="1" customFormat="1" ht="15.75" customHeight="1" spans="5:5">
      <c r="E683" s="2"/>
    </row>
    <row r="684" s="1" customFormat="1" ht="15.75" customHeight="1" spans="5:5">
      <c r="E684" s="2"/>
    </row>
    <row r="685" s="1" customFormat="1" ht="15.75" customHeight="1" spans="5:5">
      <c r="E685" s="2"/>
    </row>
    <row r="686" s="1" customFormat="1" ht="15.75" customHeight="1" spans="5:5">
      <c r="E686" s="2"/>
    </row>
    <row r="687" s="1" customFormat="1" ht="15.75" customHeight="1" spans="5:5">
      <c r="E687" s="2"/>
    </row>
    <row r="688" s="1" customFormat="1" ht="15.75" customHeight="1" spans="5:5">
      <c r="E688" s="2"/>
    </row>
    <row r="689" s="1" customFormat="1" ht="15.75" customHeight="1" spans="5:5">
      <c r="E689" s="2"/>
    </row>
    <row r="690" s="1" customFormat="1" ht="15.75" customHeight="1" spans="5:5">
      <c r="E690" s="2"/>
    </row>
    <row r="691" s="1" customFormat="1" ht="15.75" customHeight="1" spans="5:5">
      <c r="E691" s="2"/>
    </row>
    <row r="692" s="1" customFormat="1" ht="15.75" customHeight="1" spans="5:5">
      <c r="E692" s="2"/>
    </row>
    <row r="693" s="1" customFormat="1" ht="15.75" customHeight="1" spans="5:5">
      <c r="E693" s="2"/>
    </row>
    <row r="694" s="1" customFormat="1" ht="15.75" customHeight="1" spans="5:5">
      <c r="E694" s="2"/>
    </row>
    <row r="695" s="1" customFormat="1" ht="15.75" customHeight="1" spans="5:5">
      <c r="E695" s="2"/>
    </row>
    <row r="696" s="1" customFormat="1" ht="15.75" customHeight="1" spans="5:5">
      <c r="E696" s="2"/>
    </row>
    <row r="697" s="1" customFormat="1" ht="15.75" customHeight="1" spans="5:5">
      <c r="E697" s="2"/>
    </row>
    <row r="698" s="1" customFormat="1" ht="15.75" customHeight="1" spans="5:5">
      <c r="E698" s="2"/>
    </row>
    <row r="699" s="1" customFormat="1" ht="15.75" customHeight="1" spans="5:5">
      <c r="E699" s="2"/>
    </row>
    <row r="700" s="1" customFormat="1" ht="15.75" customHeight="1" spans="5:5">
      <c r="E700" s="2"/>
    </row>
    <row r="701" s="1" customFormat="1" ht="15.75" customHeight="1" spans="5:5">
      <c r="E701" s="2"/>
    </row>
    <row r="702" s="1" customFormat="1" ht="15.75" customHeight="1" spans="5:5">
      <c r="E702" s="2"/>
    </row>
    <row r="703" s="1" customFormat="1" ht="15.75" customHeight="1" spans="5:5">
      <c r="E703" s="2"/>
    </row>
    <row r="704" s="1" customFormat="1" ht="15.75" customHeight="1" spans="5:5">
      <c r="E704" s="2"/>
    </row>
    <row r="705" s="1" customFormat="1" ht="15.75" customHeight="1" spans="5:5">
      <c r="E705" s="2"/>
    </row>
    <row r="706" s="1" customFormat="1" ht="15.75" customHeight="1" spans="5:5">
      <c r="E706" s="2"/>
    </row>
    <row r="707" s="1" customFormat="1" ht="15.75" customHeight="1" spans="5:5">
      <c r="E707" s="2"/>
    </row>
    <row r="708" s="1" customFormat="1" ht="15.75" customHeight="1" spans="5:5">
      <c r="E708" s="2"/>
    </row>
    <row r="709" s="1" customFormat="1" ht="15.75" customHeight="1" spans="5:5">
      <c r="E709" s="2"/>
    </row>
    <row r="710" s="1" customFormat="1" ht="15.75" customHeight="1" spans="5:5">
      <c r="E710" s="2"/>
    </row>
    <row r="711" s="1" customFormat="1" ht="15.75" customHeight="1" spans="5:5">
      <c r="E711" s="2"/>
    </row>
    <row r="712" s="1" customFormat="1" ht="15.75" customHeight="1" spans="5:5">
      <c r="E712" s="2"/>
    </row>
    <row r="713" s="1" customFormat="1" ht="15.75" customHeight="1" spans="5:5">
      <c r="E713" s="2"/>
    </row>
    <row r="714" s="1" customFormat="1" ht="15.75" customHeight="1" spans="5:5">
      <c r="E714" s="2"/>
    </row>
    <row r="715" s="1" customFormat="1" ht="15.75" customHeight="1" spans="5:5">
      <c r="E715" s="2"/>
    </row>
    <row r="716" s="1" customFormat="1" ht="15.75" customHeight="1" spans="5:5">
      <c r="E716" s="2"/>
    </row>
    <row r="717" s="1" customFormat="1" ht="15.75" customHeight="1" spans="5:5">
      <c r="E717" s="2"/>
    </row>
    <row r="718" s="1" customFormat="1" ht="15.75" customHeight="1" spans="5:5">
      <c r="E718" s="2"/>
    </row>
    <row r="719" s="1" customFormat="1" ht="15.75" customHeight="1" spans="5:5">
      <c r="E719" s="2"/>
    </row>
    <row r="720" s="1" customFormat="1" ht="15.75" customHeight="1" spans="5:5">
      <c r="E720" s="2"/>
    </row>
    <row r="721" s="1" customFormat="1" ht="15.75" customHeight="1" spans="5:5">
      <c r="E721" s="2"/>
    </row>
    <row r="722" s="1" customFormat="1" ht="15.75" customHeight="1" spans="5:5">
      <c r="E722" s="2"/>
    </row>
    <row r="723" s="1" customFormat="1" ht="15.75" customHeight="1" spans="5:5">
      <c r="E723" s="2"/>
    </row>
    <row r="724" s="1" customFormat="1" ht="15.75" customHeight="1" spans="5:5">
      <c r="E724" s="2"/>
    </row>
    <row r="725" s="1" customFormat="1" ht="15.75" customHeight="1" spans="5:5">
      <c r="E725" s="2"/>
    </row>
    <row r="726" s="1" customFormat="1" ht="15.75" customHeight="1" spans="5:5">
      <c r="E726" s="2"/>
    </row>
    <row r="727" s="1" customFormat="1" ht="15.75" customHeight="1" spans="5:5">
      <c r="E727" s="2"/>
    </row>
    <row r="728" s="1" customFormat="1" ht="15.75" customHeight="1" spans="5:5">
      <c r="E728" s="2"/>
    </row>
    <row r="729" s="1" customFormat="1" ht="15.75" customHeight="1" spans="5:5">
      <c r="E729" s="2"/>
    </row>
    <row r="730" s="1" customFormat="1" ht="15.75" customHeight="1" spans="5:5">
      <c r="E730" s="2"/>
    </row>
    <row r="731" s="1" customFormat="1" ht="15.75" customHeight="1" spans="5:5">
      <c r="E731" s="2"/>
    </row>
    <row r="732" s="1" customFormat="1" ht="15.75" customHeight="1" spans="5:5">
      <c r="E732" s="2"/>
    </row>
    <row r="733" s="1" customFormat="1" ht="15.75" customHeight="1" spans="5:5">
      <c r="E733" s="2"/>
    </row>
    <row r="734" s="1" customFormat="1" ht="15.75" customHeight="1" spans="5:5">
      <c r="E734" s="2"/>
    </row>
    <row r="735" s="1" customFormat="1" ht="15.75" customHeight="1" spans="5:5">
      <c r="E735" s="2"/>
    </row>
    <row r="736" s="1" customFormat="1" ht="15.75" customHeight="1" spans="5:5">
      <c r="E736" s="2"/>
    </row>
    <row r="737" s="1" customFormat="1" ht="15.75" customHeight="1" spans="5:5">
      <c r="E737" s="2"/>
    </row>
    <row r="738" s="1" customFormat="1" ht="15.75" customHeight="1" spans="5:5">
      <c r="E738" s="2"/>
    </row>
    <row r="739" s="1" customFormat="1" ht="15.75" customHeight="1" spans="5:5">
      <c r="E739" s="2"/>
    </row>
    <row r="740" s="1" customFormat="1" ht="15.75" customHeight="1" spans="5:5">
      <c r="E740" s="2"/>
    </row>
    <row r="741" s="1" customFormat="1" ht="15.75" customHeight="1" spans="5:5">
      <c r="E741" s="2"/>
    </row>
    <row r="742" s="1" customFormat="1" ht="15.75" customHeight="1" spans="5:5">
      <c r="E742" s="2"/>
    </row>
    <row r="743" s="1" customFormat="1" ht="15.75" customHeight="1" spans="5:5">
      <c r="E743" s="2"/>
    </row>
    <row r="744" s="1" customFormat="1" ht="15.75" customHeight="1" spans="5:5">
      <c r="E744" s="2"/>
    </row>
    <row r="745" s="1" customFormat="1" ht="15.75" customHeight="1" spans="5:5">
      <c r="E745" s="2"/>
    </row>
    <row r="746" s="1" customFormat="1" ht="15.75" customHeight="1" spans="5:5">
      <c r="E746" s="2"/>
    </row>
    <row r="747" s="1" customFormat="1" ht="15.75" customHeight="1" spans="5:5">
      <c r="E747" s="2"/>
    </row>
    <row r="748" s="1" customFormat="1" ht="15.75" customHeight="1" spans="5:5">
      <c r="E748" s="2"/>
    </row>
    <row r="749" s="1" customFormat="1" ht="15.75" customHeight="1" spans="5:5">
      <c r="E749" s="2"/>
    </row>
    <row r="750" s="1" customFormat="1" ht="15.75" customHeight="1" spans="5:5">
      <c r="E750" s="2"/>
    </row>
    <row r="751" s="1" customFormat="1" ht="15.75" customHeight="1" spans="5:5">
      <c r="E751" s="2"/>
    </row>
    <row r="752" s="1" customFormat="1" ht="15.75" customHeight="1" spans="5:5">
      <c r="E752" s="2"/>
    </row>
    <row r="753" s="1" customFormat="1" ht="15.75" customHeight="1" spans="5:5">
      <c r="E753" s="2"/>
    </row>
    <row r="754" s="1" customFormat="1" ht="15.75" customHeight="1" spans="5:5">
      <c r="E754" s="2"/>
    </row>
    <row r="755" s="1" customFormat="1" ht="15.75" customHeight="1" spans="5:5">
      <c r="E755" s="2"/>
    </row>
    <row r="756" s="1" customFormat="1" ht="15.75" customHeight="1" spans="5:5">
      <c r="E756" s="2"/>
    </row>
    <row r="757" s="1" customFormat="1" ht="15.75" customHeight="1" spans="5:5">
      <c r="E757" s="2"/>
    </row>
    <row r="758" s="1" customFormat="1" ht="15.75" customHeight="1" spans="5:5">
      <c r="E758" s="2"/>
    </row>
    <row r="759" s="1" customFormat="1" ht="15.75" customHeight="1" spans="5:5">
      <c r="E759" s="2"/>
    </row>
    <row r="760" s="1" customFormat="1" ht="15.75" customHeight="1" spans="5:5">
      <c r="E760" s="2"/>
    </row>
    <row r="761" s="1" customFormat="1" ht="15.75" customHeight="1" spans="5:5">
      <c r="E761" s="2"/>
    </row>
    <row r="762" s="1" customFormat="1" ht="15.75" customHeight="1" spans="5:5">
      <c r="E762" s="2"/>
    </row>
    <row r="763" s="1" customFormat="1" ht="15.75" customHeight="1" spans="5:5">
      <c r="E763" s="2"/>
    </row>
    <row r="764" s="1" customFormat="1" ht="15.75" customHeight="1" spans="5:5">
      <c r="E764" s="2"/>
    </row>
    <row r="765" s="1" customFormat="1" ht="15.75" customHeight="1" spans="5:5">
      <c r="E765" s="2"/>
    </row>
    <row r="766" s="1" customFormat="1" ht="15.75" customHeight="1" spans="5:5">
      <c r="E766" s="2"/>
    </row>
    <row r="767" s="1" customFormat="1" ht="15.75" customHeight="1" spans="5:5">
      <c r="E767" s="2"/>
    </row>
    <row r="768" s="1" customFormat="1" ht="15.75" customHeight="1" spans="5:5">
      <c r="E768" s="2"/>
    </row>
    <row r="769" s="1" customFormat="1" ht="15.75" customHeight="1" spans="5:5">
      <c r="E769" s="2"/>
    </row>
    <row r="770" s="1" customFormat="1" ht="15.75" customHeight="1" spans="5:5">
      <c r="E770" s="2"/>
    </row>
    <row r="771" s="1" customFormat="1" ht="15.75" customHeight="1" spans="5:5">
      <c r="E771" s="2"/>
    </row>
    <row r="772" s="1" customFormat="1" ht="15.75" customHeight="1" spans="5:5">
      <c r="E772" s="2"/>
    </row>
    <row r="773" s="1" customFormat="1" ht="15.75" customHeight="1" spans="5:5">
      <c r="E773" s="2"/>
    </row>
    <row r="774" s="1" customFormat="1" ht="15.75" customHeight="1" spans="5:5">
      <c r="E774" s="2"/>
    </row>
    <row r="775" s="1" customFormat="1" ht="15.75" customHeight="1" spans="5:5">
      <c r="E775" s="2"/>
    </row>
    <row r="776" s="1" customFormat="1" ht="15.75" customHeight="1" spans="5:5">
      <c r="E776" s="2"/>
    </row>
    <row r="777" s="1" customFormat="1" ht="15.75" customHeight="1" spans="5:5">
      <c r="E777" s="2"/>
    </row>
    <row r="778" s="1" customFormat="1" ht="15.75" customHeight="1" spans="5:5">
      <c r="E778" s="2"/>
    </row>
    <row r="779" s="1" customFormat="1" ht="15.75" customHeight="1" spans="5:5">
      <c r="E779" s="2"/>
    </row>
    <row r="780" s="1" customFormat="1" ht="15.75" customHeight="1" spans="5:5">
      <c r="E780" s="2"/>
    </row>
    <row r="781" s="1" customFormat="1" ht="15.75" customHeight="1" spans="5:5">
      <c r="E781" s="2"/>
    </row>
    <row r="782" s="1" customFormat="1" ht="15.75" customHeight="1" spans="5:5">
      <c r="E782" s="2"/>
    </row>
    <row r="783" s="1" customFormat="1" ht="15.75" customHeight="1" spans="5:5">
      <c r="E783" s="2"/>
    </row>
    <row r="784" s="1" customFormat="1" ht="15.75" customHeight="1" spans="5:5">
      <c r="E784" s="2"/>
    </row>
    <row r="785" s="1" customFormat="1" ht="15.75" customHeight="1" spans="5:5">
      <c r="E785" s="2"/>
    </row>
    <row r="786" s="1" customFormat="1" ht="15.75" customHeight="1" spans="5:5">
      <c r="E786" s="2"/>
    </row>
    <row r="787" s="1" customFormat="1" ht="15.75" customHeight="1" spans="5:5">
      <c r="E787" s="2"/>
    </row>
    <row r="788" s="1" customFormat="1" ht="15.75" customHeight="1" spans="5:5">
      <c r="E788" s="2"/>
    </row>
    <row r="789" s="1" customFormat="1" ht="15.75" customHeight="1" spans="5:5">
      <c r="E789" s="2"/>
    </row>
    <row r="790" s="1" customFormat="1" ht="15.75" customHeight="1" spans="5:5">
      <c r="E790" s="2"/>
    </row>
    <row r="791" s="1" customFormat="1" ht="15.75" customHeight="1" spans="5:5">
      <c r="E791" s="2"/>
    </row>
    <row r="792" s="1" customFormat="1" ht="15.75" customHeight="1" spans="5:5">
      <c r="E792" s="2"/>
    </row>
    <row r="793" s="1" customFormat="1" ht="15.75" customHeight="1" spans="5:5">
      <c r="E793" s="2"/>
    </row>
    <row r="794" s="1" customFormat="1" ht="15.75" customHeight="1" spans="5:5">
      <c r="E794" s="2"/>
    </row>
    <row r="795" s="1" customFormat="1" ht="15.75" customHeight="1" spans="5:5">
      <c r="E795" s="2"/>
    </row>
    <row r="796" s="1" customFormat="1" ht="15.75" customHeight="1" spans="5:5">
      <c r="E796" s="2"/>
    </row>
    <row r="797" s="1" customFormat="1" ht="15.75" customHeight="1" spans="5:5">
      <c r="E797" s="2"/>
    </row>
    <row r="798" s="1" customFormat="1" ht="15.75" customHeight="1" spans="5:5">
      <c r="E798" s="2"/>
    </row>
    <row r="799" s="1" customFormat="1" ht="15.75" customHeight="1" spans="5:5">
      <c r="E799" s="2"/>
    </row>
    <row r="800" s="1" customFormat="1" ht="15.75" customHeight="1" spans="5:5">
      <c r="E800" s="2"/>
    </row>
    <row r="801" s="1" customFormat="1" ht="15.75" customHeight="1" spans="5:5">
      <c r="E801" s="2"/>
    </row>
    <row r="802" s="1" customFormat="1" ht="15.75" customHeight="1" spans="5:5">
      <c r="E802" s="2"/>
    </row>
    <row r="803" s="1" customFormat="1" ht="15.75" customHeight="1" spans="5:5">
      <c r="E803" s="2"/>
    </row>
    <row r="804" s="1" customFormat="1" ht="15.75" customHeight="1" spans="5:5">
      <c r="E804" s="2"/>
    </row>
    <row r="805" s="1" customFormat="1" ht="15.75" customHeight="1" spans="5:5">
      <c r="E805" s="2"/>
    </row>
    <row r="806" s="1" customFormat="1" ht="15.75" customHeight="1" spans="5:5">
      <c r="E806" s="2"/>
    </row>
    <row r="807" s="1" customFormat="1" ht="15.75" customHeight="1" spans="5:5">
      <c r="E807" s="2"/>
    </row>
    <row r="808" s="1" customFormat="1" ht="15.75" customHeight="1" spans="5:5">
      <c r="E808" s="2"/>
    </row>
    <row r="809" s="1" customFormat="1" ht="15.75" customHeight="1" spans="5:5">
      <c r="E809" s="2"/>
    </row>
    <row r="810" s="1" customFormat="1" ht="15.75" customHeight="1" spans="5:5">
      <c r="E810" s="2"/>
    </row>
    <row r="811" s="1" customFormat="1" ht="15.75" customHeight="1" spans="5:5">
      <c r="E811" s="2"/>
    </row>
    <row r="812" s="1" customFormat="1" ht="15.75" customHeight="1" spans="5:5">
      <c r="E812" s="2"/>
    </row>
    <row r="813" s="1" customFormat="1" ht="15.75" customHeight="1" spans="5:5">
      <c r="E813" s="2"/>
    </row>
    <row r="814" s="1" customFormat="1" ht="15.75" customHeight="1" spans="5:5">
      <c r="E814" s="2"/>
    </row>
    <row r="815" s="1" customFormat="1" ht="15.75" customHeight="1" spans="5:5">
      <c r="E815" s="2"/>
    </row>
    <row r="816" s="1" customFormat="1" ht="15.75" customHeight="1" spans="5:5">
      <c r="E816" s="2"/>
    </row>
    <row r="817" s="1" customFormat="1" ht="15.75" customHeight="1" spans="5:5">
      <c r="E817" s="2"/>
    </row>
    <row r="818" s="1" customFormat="1" ht="15.75" customHeight="1" spans="5:5">
      <c r="E818" s="2"/>
    </row>
    <row r="819" s="1" customFormat="1" ht="15.75" customHeight="1" spans="5:5">
      <c r="E819" s="2"/>
    </row>
    <row r="820" s="1" customFormat="1" ht="15.75" customHeight="1" spans="5:5">
      <c r="E820" s="2"/>
    </row>
    <row r="821" s="1" customFormat="1" ht="15.75" customHeight="1" spans="5:5">
      <c r="E821" s="2"/>
    </row>
    <row r="822" s="1" customFormat="1" ht="15.75" customHeight="1" spans="5:5">
      <c r="E822" s="2"/>
    </row>
    <row r="823" s="1" customFormat="1" ht="15.75" customHeight="1" spans="5:5">
      <c r="E823" s="2"/>
    </row>
    <row r="824" s="1" customFormat="1" ht="15.75" customHeight="1" spans="5:5">
      <c r="E824" s="2"/>
    </row>
    <row r="825" s="1" customFormat="1" ht="15.75" customHeight="1" spans="5:5">
      <c r="E825" s="2"/>
    </row>
    <row r="826" s="1" customFormat="1" ht="15.75" customHeight="1" spans="5:5">
      <c r="E826" s="2"/>
    </row>
    <row r="827" s="1" customFormat="1" ht="15.75" customHeight="1" spans="5:5">
      <c r="E827" s="2"/>
    </row>
    <row r="828" s="1" customFormat="1" ht="15.75" customHeight="1" spans="5:5">
      <c r="E828" s="2"/>
    </row>
    <row r="829" s="1" customFormat="1" ht="15.75" customHeight="1" spans="5:5">
      <c r="E829" s="2"/>
    </row>
    <row r="830" s="1" customFormat="1" ht="15.75" customHeight="1" spans="5:5">
      <c r="E830" s="2"/>
    </row>
    <row r="831" s="1" customFormat="1" ht="15.75" customHeight="1" spans="5:5">
      <c r="E831" s="2"/>
    </row>
    <row r="832" s="1" customFormat="1" ht="15.75" customHeight="1" spans="5:5">
      <c r="E832" s="2"/>
    </row>
    <row r="833" s="1" customFormat="1" ht="15.75" customHeight="1" spans="5:5">
      <c r="E833" s="2"/>
    </row>
    <row r="834" s="1" customFormat="1" ht="15.75" customHeight="1" spans="5:5">
      <c r="E834" s="2"/>
    </row>
    <row r="835" s="1" customFormat="1" ht="15.75" customHeight="1" spans="5:5">
      <c r="E835" s="2"/>
    </row>
    <row r="836" s="1" customFormat="1" ht="15.75" customHeight="1" spans="5:5">
      <c r="E836" s="2"/>
    </row>
    <row r="837" s="1" customFormat="1" ht="15.75" customHeight="1" spans="5:5">
      <c r="E837" s="2"/>
    </row>
    <row r="838" s="1" customFormat="1" ht="15.75" customHeight="1" spans="5:5">
      <c r="E838" s="2"/>
    </row>
    <row r="839" s="1" customFormat="1" ht="15.75" customHeight="1" spans="5:5">
      <c r="E839" s="2"/>
    </row>
    <row r="840" s="1" customFormat="1" ht="15.75" customHeight="1" spans="5:5">
      <c r="E840" s="2"/>
    </row>
    <row r="841" s="1" customFormat="1" ht="15.75" customHeight="1" spans="5:5">
      <c r="E841" s="2"/>
    </row>
    <row r="842" s="1" customFormat="1" ht="15.75" customHeight="1" spans="5:5">
      <c r="E842" s="2"/>
    </row>
    <row r="843" s="1" customFormat="1" ht="15.75" customHeight="1" spans="5:5">
      <c r="E843" s="2"/>
    </row>
    <row r="844" s="1" customFormat="1" ht="15.75" customHeight="1" spans="5:5">
      <c r="E844" s="2"/>
    </row>
    <row r="845" s="1" customFormat="1" ht="15.75" customHeight="1" spans="5:5">
      <c r="E845" s="2"/>
    </row>
    <row r="846" s="1" customFormat="1" ht="15.75" customHeight="1" spans="5:5">
      <c r="E846" s="2"/>
    </row>
    <row r="847" s="1" customFormat="1" ht="15.75" customHeight="1" spans="5:5">
      <c r="E847" s="2"/>
    </row>
    <row r="848" s="1" customFormat="1" ht="15.75" customHeight="1" spans="5:5">
      <c r="E848" s="2"/>
    </row>
    <row r="849" s="1" customFormat="1" ht="15.75" customHeight="1" spans="5:5">
      <c r="E849" s="2"/>
    </row>
    <row r="850" s="1" customFormat="1" ht="15.75" customHeight="1" spans="5:5">
      <c r="E850" s="2"/>
    </row>
    <row r="851" s="1" customFormat="1" ht="15.75" customHeight="1" spans="5:5">
      <c r="E851" s="2"/>
    </row>
    <row r="852" s="1" customFormat="1" ht="15.75" customHeight="1" spans="5:5">
      <c r="E852" s="2"/>
    </row>
    <row r="853" s="1" customFormat="1" ht="15.75" customHeight="1" spans="5:5">
      <c r="E853" s="2"/>
    </row>
    <row r="854" s="1" customFormat="1" ht="15.75" customHeight="1" spans="5:5">
      <c r="E854" s="2"/>
    </row>
    <row r="855" s="1" customFormat="1" ht="15.75" customHeight="1" spans="5:5">
      <c r="E855" s="2"/>
    </row>
    <row r="856" s="1" customFormat="1" ht="15.75" customHeight="1" spans="5:5">
      <c r="E856" s="2"/>
    </row>
    <row r="857" s="1" customFormat="1" ht="15.75" customHeight="1" spans="5:5">
      <c r="E857" s="2"/>
    </row>
    <row r="858" s="1" customFormat="1" ht="15.75" customHeight="1" spans="5:5">
      <c r="E858" s="2"/>
    </row>
    <row r="859" s="1" customFormat="1" ht="15.75" customHeight="1" spans="5:5">
      <c r="E859" s="2"/>
    </row>
    <row r="860" s="1" customFormat="1" ht="15.75" customHeight="1" spans="5:5">
      <c r="E860" s="2"/>
    </row>
    <row r="861" s="1" customFormat="1" ht="15.75" customHeight="1" spans="5:5">
      <c r="E861" s="2"/>
    </row>
    <row r="862" s="1" customFormat="1" ht="15.75" customHeight="1" spans="5:5">
      <c r="E862" s="2"/>
    </row>
    <row r="863" s="1" customFormat="1" ht="15.75" customHeight="1" spans="5:5">
      <c r="E863" s="2"/>
    </row>
    <row r="864" s="1" customFormat="1" ht="15.75" customHeight="1" spans="5:5">
      <c r="E864" s="2"/>
    </row>
    <row r="865" s="1" customFormat="1" ht="15.75" customHeight="1" spans="5:5">
      <c r="E865" s="2"/>
    </row>
    <row r="866" s="1" customFormat="1" ht="15.75" customHeight="1" spans="5:5">
      <c r="E866" s="2"/>
    </row>
    <row r="867" s="1" customFormat="1" ht="15.75" customHeight="1" spans="5:5">
      <c r="E867" s="2"/>
    </row>
    <row r="868" s="1" customFormat="1" ht="15.75" customHeight="1" spans="5:5">
      <c r="E868" s="2"/>
    </row>
    <row r="869" s="1" customFormat="1" ht="15.75" customHeight="1" spans="5:5">
      <c r="E869" s="2"/>
    </row>
    <row r="870" s="1" customFormat="1" ht="15.75" customHeight="1" spans="5:5">
      <c r="E870" s="2"/>
    </row>
    <row r="871" s="1" customFormat="1" ht="15.75" customHeight="1" spans="5:5">
      <c r="E871" s="2"/>
    </row>
    <row r="872" s="1" customFormat="1" ht="15.75" customHeight="1" spans="5:5">
      <c r="E872" s="2"/>
    </row>
    <row r="873" s="1" customFormat="1" ht="15.75" customHeight="1" spans="5:5">
      <c r="E873" s="2"/>
    </row>
    <row r="874" s="1" customFormat="1" ht="15.75" customHeight="1" spans="5:5">
      <c r="E874" s="2"/>
    </row>
    <row r="875" s="1" customFormat="1" ht="15.75" customHeight="1" spans="5:5">
      <c r="E875" s="2"/>
    </row>
    <row r="876" s="1" customFormat="1" ht="15.75" customHeight="1" spans="5:5">
      <c r="E876" s="2"/>
    </row>
    <row r="877" s="1" customFormat="1" ht="15.75" customHeight="1" spans="5:5">
      <c r="E877" s="2"/>
    </row>
    <row r="878" s="1" customFormat="1" ht="15.75" customHeight="1" spans="5:5">
      <c r="E878" s="2"/>
    </row>
    <row r="879" s="1" customFormat="1" ht="15.75" customHeight="1" spans="5:5">
      <c r="E879" s="2"/>
    </row>
    <row r="880" s="1" customFormat="1" ht="15.75" customHeight="1" spans="5:5">
      <c r="E880" s="2"/>
    </row>
    <row r="881" s="1" customFormat="1" ht="15.75" customHeight="1" spans="5:5">
      <c r="E881" s="2"/>
    </row>
    <row r="882" s="1" customFormat="1" ht="15.75" customHeight="1" spans="5:5">
      <c r="E882" s="2"/>
    </row>
    <row r="883" s="1" customFormat="1" ht="15.75" customHeight="1" spans="5:5">
      <c r="E883" s="2"/>
    </row>
    <row r="884" s="1" customFormat="1" ht="15.75" customHeight="1" spans="5:5">
      <c r="E884" s="2"/>
    </row>
    <row r="885" s="1" customFormat="1" ht="15.75" customHeight="1" spans="5:5">
      <c r="E885" s="2"/>
    </row>
    <row r="886" s="1" customFormat="1" ht="15.75" customHeight="1" spans="5:5">
      <c r="E886" s="2"/>
    </row>
    <row r="887" s="1" customFormat="1" ht="15.75" customHeight="1" spans="5:5">
      <c r="E887" s="2"/>
    </row>
    <row r="888" s="1" customFormat="1" ht="15.75" customHeight="1" spans="5:5">
      <c r="E888" s="2"/>
    </row>
    <row r="889" s="1" customFormat="1" ht="15.75" customHeight="1" spans="5:5">
      <c r="E889" s="2"/>
    </row>
    <row r="890" s="1" customFormat="1" ht="15.75" customHeight="1" spans="5:5">
      <c r="E890" s="2"/>
    </row>
    <row r="891" s="1" customFormat="1" ht="15.75" customHeight="1" spans="5:5">
      <c r="E891" s="2"/>
    </row>
    <row r="892" s="1" customFormat="1" ht="15.75" customHeight="1" spans="5:5">
      <c r="E892" s="2"/>
    </row>
    <row r="893" s="1" customFormat="1" ht="15.75" customHeight="1" spans="5:5">
      <c r="E893" s="2"/>
    </row>
    <row r="894" s="1" customFormat="1" ht="15.75" customHeight="1" spans="5:5">
      <c r="E894" s="2"/>
    </row>
    <row r="895" s="1" customFormat="1" ht="15.75" customHeight="1" spans="5:5">
      <c r="E895" s="2"/>
    </row>
    <row r="896" s="1" customFormat="1" ht="15.75" customHeight="1" spans="5:5">
      <c r="E896" s="2"/>
    </row>
    <row r="897" s="1" customFormat="1" ht="15.75" customHeight="1" spans="5:5">
      <c r="E897" s="2"/>
    </row>
    <row r="898" s="1" customFormat="1" ht="15.75" customHeight="1" spans="5:5">
      <c r="E898" s="2"/>
    </row>
    <row r="899" s="1" customFormat="1" ht="15.75" customHeight="1" spans="5:5">
      <c r="E899" s="2"/>
    </row>
    <row r="900" s="1" customFormat="1" ht="15.75" customHeight="1" spans="5:5">
      <c r="E900" s="2"/>
    </row>
    <row r="901" s="1" customFormat="1" ht="15.75" customHeight="1" spans="5:5">
      <c r="E901" s="2"/>
    </row>
    <row r="902" s="1" customFormat="1" ht="15.75" customHeight="1" spans="5:5">
      <c r="E902" s="2"/>
    </row>
    <row r="903" s="1" customFormat="1" ht="15.75" customHeight="1" spans="5:5">
      <c r="E903" s="2"/>
    </row>
    <row r="904" s="1" customFormat="1" ht="15.75" customHeight="1" spans="5:5">
      <c r="E904" s="2"/>
    </row>
    <row r="905" s="1" customFormat="1" ht="15.75" customHeight="1" spans="5:5">
      <c r="E905" s="2"/>
    </row>
    <row r="906" s="1" customFormat="1" ht="15.75" customHeight="1" spans="5:5">
      <c r="E906" s="2"/>
    </row>
    <row r="907" s="1" customFormat="1" ht="15.75" customHeight="1" spans="5:5">
      <c r="E907" s="2"/>
    </row>
    <row r="908" s="1" customFormat="1" ht="15.75" customHeight="1" spans="5:5">
      <c r="E908" s="2"/>
    </row>
    <row r="909" s="1" customFormat="1" ht="15.75" customHeight="1" spans="5:5">
      <c r="E909" s="2"/>
    </row>
    <row r="910" s="1" customFormat="1" ht="15.75" customHeight="1" spans="5:5">
      <c r="E910" s="2"/>
    </row>
    <row r="911" s="1" customFormat="1" ht="15.75" customHeight="1" spans="5:5">
      <c r="E911" s="2"/>
    </row>
    <row r="912" s="1" customFormat="1" ht="15.75" customHeight="1" spans="5:5">
      <c r="E912" s="2"/>
    </row>
    <row r="913" s="1" customFormat="1" ht="15.75" customHeight="1" spans="5:5">
      <c r="E913" s="2"/>
    </row>
    <row r="914" s="1" customFormat="1" ht="15.75" customHeight="1" spans="5:5">
      <c r="E914" s="2"/>
    </row>
    <row r="915" s="1" customFormat="1" ht="15.75" customHeight="1" spans="5:5">
      <c r="E915" s="2"/>
    </row>
    <row r="916" s="1" customFormat="1" ht="15.75" customHeight="1" spans="5:5">
      <c r="E916" s="2"/>
    </row>
    <row r="917" s="1" customFormat="1" ht="15.75" customHeight="1" spans="5:5">
      <c r="E917" s="2"/>
    </row>
    <row r="918" s="1" customFormat="1" ht="15.75" customHeight="1" spans="5:5">
      <c r="E918" s="2"/>
    </row>
    <row r="919" s="1" customFormat="1" ht="15.75" customHeight="1" spans="5:5">
      <c r="E919" s="2"/>
    </row>
    <row r="920" s="1" customFormat="1" ht="15.75" customHeight="1" spans="5:5">
      <c r="E920" s="2"/>
    </row>
    <row r="921" s="1" customFormat="1" ht="15.75" customHeight="1" spans="5:5">
      <c r="E921" s="2"/>
    </row>
    <row r="922" s="1" customFormat="1" ht="15.75" customHeight="1" spans="5:5">
      <c r="E922" s="2"/>
    </row>
    <row r="923" s="1" customFormat="1" ht="15.75" customHeight="1" spans="5:5">
      <c r="E923" s="2"/>
    </row>
    <row r="924" s="1" customFormat="1" ht="15.75" customHeight="1" spans="5:5">
      <c r="E924" s="2"/>
    </row>
    <row r="925" s="1" customFormat="1" ht="15.75" customHeight="1" spans="5:5">
      <c r="E925" s="2"/>
    </row>
    <row r="926" s="1" customFormat="1" ht="15.75" customHeight="1" spans="5:5">
      <c r="E926" s="2"/>
    </row>
    <row r="927" s="1" customFormat="1" ht="15.75" customHeight="1" spans="5:5">
      <c r="E927" s="2"/>
    </row>
    <row r="928" s="1" customFormat="1" ht="15.75" customHeight="1" spans="5:5">
      <c r="E928" s="2"/>
    </row>
    <row r="929" s="1" customFormat="1" ht="15.75" customHeight="1" spans="5:5">
      <c r="E929" s="2"/>
    </row>
    <row r="930" s="1" customFormat="1" ht="15.75" customHeight="1" spans="5:5">
      <c r="E930" s="2"/>
    </row>
    <row r="931" s="1" customFormat="1" ht="15.75" customHeight="1" spans="5:5">
      <c r="E931" s="2"/>
    </row>
    <row r="932" s="1" customFormat="1" ht="15.75" customHeight="1" spans="5:5">
      <c r="E932" s="2"/>
    </row>
    <row r="933" s="1" customFormat="1" ht="15.75" customHeight="1" spans="5:5">
      <c r="E933" s="2"/>
    </row>
    <row r="934" s="1" customFormat="1" ht="15.75" customHeight="1" spans="5:5">
      <c r="E934" s="2"/>
    </row>
    <row r="935" s="1" customFormat="1" ht="15.75" customHeight="1" spans="5:5">
      <c r="E935" s="2"/>
    </row>
    <row r="936" s="1" customFormat="1" ht="15.75" customHeight="1" spans="5:5">
      <c r="E936" s="2"/>
    </row>
    <row r="937" s="1" customFormat="1" ht="15.75" customHeight="1" spans="5:5">
      <c r="E937" s="2"/>
    </row>
    <row r="938" s="1" customFormat="1" ht="15.75" customHeight="1" spans="5:5">
      <c r="E938" s="2"/>
    </row>
    <row r="939" s="1" customFormat="1" ht="15.75" customHeight="1" spans="5:5">
      <c r="E939" s="2"/>
    </row>
    <row r="940" s="1" customFormat="1" ht="15.75" customHeight="1" spans="5:5">
      <c r="E940" s="2"/>
    </row>
    <row r="941" s="1" customFormat="1" ht="15.75" customHeight="1" spans="5:5">
      <c r="E941" s="2"/>
    </row>
    <row r="942" s="1" customFormat="1" ht="15.75" customHeight="1" spans="5:5">
      <c r="E942" s="2"/>
    </row>
    <row r="943" s="1" customFormat="1" ht="15.75" customHeight="1" spans="5:5">
      <c r="E943" s="2"/>
    </row>
    <row r="944" s="1" customFormat="1" ht="15.75" customHeight="1" spans="5:5">
      <c r="E944" s="2"/>
    </row>
    <row r="945" s="1" customFormat="1" ht="15.75" customHeight="1" spans="5:5">
      <c r="E945" s="2"/>
    </row>
    <row r="946" s="1" customFormat="1" ht="15.75" customHeight="1" spans="5:5">
      <c r="E946" s="2"/>
    </row>
    <row r="947" s="1" customFormat="1" ht="15.75" customHeight="1" spans="5:5">
      <c r="E947" s="2"/>
    </row>
    <row r="948" s="1" customFormat="1" ht="15.75" customHeight="1" spans="5:5">
      <c r="E948" s="2"/>
    </row>
    <row r="949" s="1" customFormat="1" ht="15.75" customHeight="1" spans="5:5">
      <c r="E949" s="2"/>
    </row>
    <row r="950" s="1" customFormat="1" ht="15.75" customHeight="1" spans="5:5">
      <c r="E950" s="2"/>
    </row>
    <row r="951" s="1" customFormat="1" ht="15.75" customHeight="1" spans="5:5">
      <c r="E951" s="2"/>
    </row>
    <row r="952" s="1" customFormat="1" ht="15.75" customHeight="1" spans="5:5">
      <c r="E952" s="2"/>
    </row>
    <row r="953" s="1" customFormat="1" ht="15.75" customHeight="1" spans="5:5">
      <c r="E953" s="2"/>
    </row>
    <row r="954" s="1" customFormat="1" ht="15.75" customHeight="1" spans="5:5">
      <c r="E954" s="2"/>
    </row>
    <row r="955" s="1" customFormat="1" ht="15.75" customHeight="1" spans="5:5">
      <c r="E955" s="2"/>
    </row>
    <row r="956" s="1" customFormat="1" ht="15.75" customHeight="1" spans="5:5">
      <c r="E956" s="2"/>
    </row>
    <row r="957" s="1" customFormat="1" ht="15.75" customHeight="1" spans="5:5">
      <c r="E957" s="2"/>
    </row>
    <row r="958" s="1" customFormat="1" ht="15.75" customHeight="1" spans="5:5">
      <c r="E958" s="2"/>
    </row>
    <row r="959" s="1" customFormat="1" ht="15.75" customHeight="1" spans="5:5">
      <c r="E959" s="2"/>
    </row>
    <row r="960" s="1" customFormat="1" ht="15.75" customHeight="1" spans="5:5">
      <c r="E960" s="2"/>
    </row>
    <row r="961" s="1" customFormat="1" ht="15.75" customHeight="1" spans="5:5">
      <c r="E961" s="2"/>
    </row>
    <row r="962" s="1" customFormat="1" ht="15.75" customHeight="1" spans="5:5">
      <c r="E962" s="2"/>
    </row>
    <row r="963" s="1" customFormat="1" ht="15.75" customHeight="1" spans="5:5">
      <c r="E963" s="2"/>
    </row>
    <row r="964" s="1" customFormat="1" ht="15.75" customHeight="1" spans="5:5">
      <c r="E964" s="2"/>
    </row>
    <row r="965" s="1" customFormat="1" ht="15.75" customHeight="1" spans="5:5">
      <c r="E965" s="2"/>
    </row>
    <row r="966" s="1" customFormat="1" ht="15.75" customHeight="1" spans="5:5">
      <c r="E966" s="2"/>
    </row>
    <row r="967" s="1" customFormat="1" ht="15.75" customHeight="1" spans="5:5">
      <c r="E967" s="2"/>
    </row>
    <row r="968" s="1" customFormat="1" ht="15.75" customHeight="1" spans="5:5">
      <c r="E968" s="2"/>
    </row>
    <row r="969" s="1" customFormat="1" ht="15.75" customHeight="1" spans="5:5">
      <c r="E969" s="2"/>
    </row>
    <row r="970" s="1" customFormat="1" ht="15.75" customHeight="1" spans="5:5">
      <c r="E970" s="2"/>
    </row>
    <row r="971" s="1" customFormat="1" ht="15.75" customHeight="1" spans="5:5">
      <c r="E971" s="2"/>
    </row>
    <row r="972" s="1" customFormat="1" ht="15.75" customHeight="1" spans="5:5">
      <c r="E972" s="2"/>
    </row>
    <row r="973" s="1" customFormat="1" ht="15.75" customHeight="1" spans="5:5">
      <c r="E973" s="2"/>
    </row>
    <row r="974" s="1" customFormat="1" ht="15.75" customHeight="1" spans="5:5">
      <c r="E974" s="2"/>
    </row>
    <row r="975" s="1" customFormat="1" ht="15.75" customHeight="1" spans="5:5">
      <c r="E975" s="2"/>
    </row>
    <row r="976" s="1" customFormat="1" ht="15.75" customHeight="1" spans="5:5">
      <c r="E976" s="2"/>
    </row>
    <row r="977" s="1" customFormat="1" ht="15.75" customHeight="1" spans="5:5">
      <c r="E977" s="2"/>
    </row>
    <row r="978" s="1" customFormat="1" ht="15.75" customHeight="1" spans="5:5">
      <c r="E978" s="2"/>
    </row>
    <row r="979" s="1" customFormat="1" ht="15.75" customHeight="1" spans="5:5">
      <c r="E979" s="2"/>
    </row>
    <row r="980" s="1" customFormat="1" ht="15.75" customHeight="1" spans="5:5">
      <c r="E980" s="2"/>
    </row>
    <row r="981" s="1" customFormat="1" ht="15.75" customHeight="1" spans="5:5">
      <c r="E981" s="2"/>
    </row>
    <row r="982" s="1" customFormat="1" ht="15.75" customHeight="1" spans="5:5">
      <c r="E982" s="2"/>
    </row>
    <row r="983" s="1" customFormat="1" ht="15.75" customHeight="1" spans="5:5">
      <c r="E983" s="2"/>
    </row>
    <row r="984" s="1" customFormat="1" ht="15.75" customHeight="1" spans="5:5">
      <c r="E984" s="2"/>
    </row>
    <row r="985" s="1" customFormat="1" ht="15.75" customHeight="1" spans="5:5">
      <c r="E985" s="2"/>
    </row>
    <row r="986" s="1" customFormat="1" ht="15.75" customHeight="1" spans="5:5">
      <c r="E986" s="2"/>
    </row>
    <row r="987" s="1" customFormat="1" ht="15.75" customHeight="1" spans="5:5">
      <c r="E987" s="2"/>
    </row>
    <row r="988" s="1" customFormat="1" ht="15.75" customHeight="1" spans="5:5">
      <c r="E988" s="2"/>
    </row>
    <row r="989" s="1" customFormat="1" ht="15.75" customHeight="1" spans="5:5">
      <c r="E989" s="2"/>
    </row>
    <row r="990" s="1" customFormat="1" ht="15.75" customHeight="1" spans="5:5">
      <c r="E990" s="2"/>
    </row>
    <row r="991" s="1" customFormat="1" ht="15.75" customHeight="1" spans="5:5">
      <c r="E991" s="2"/>
    </row>
    <row r="992" s="1" customFormat="1" ht="15.75" customHeight="1" spans="5:5">
      <c r="E992" s="2"/>
    </row>
    <row r="993" s="1" customFormat="1" ht="15.75" customHeight="1" spans="5:5">
      <c r="E993" s="2"/>
    </row>
    <row r="994" s="1" customFormat="1" ht="15.75" customHeight="1" spans="5:5">
      <c r="E994" s="2"/>
    </row>
    <row r="995" s="1" customFormat="1" ht="15.75" customHeight="1" spans="5:5">
      <c r="E995" s="2"/>
    </row>
    <row r="996" s="1" customFormat="1" ht="15.75" customHeight="1" spans="5:5">
      <c r="E996" s="2"/>
    </row>
    <row r="997" s="1" customFormat="1" ht="15.75" customHeight="1" spans="5:5">
      <c r="E997" s="2"/>
    </row>
    <row r="998" s="1" customFormat="1" ht="15.75" customHeight="1" spans="5:5">
      <c r="E998" s="2"/>
    </row>
    <row r="999" s="1" customFormat="1" ht="15.75" customHeight="1" spans="5:5">
      <c r="E999" s="2"/>
    </row>
    <row r="1000" s="1" customFormat="1" ht="15.75" customHeight="1" spans="5:5">
      <c r="E1000" s="2"/>
    </row>
  </sheetData>
  <conditionalFormatting sqref="E$1:E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{1be8cdb5-0a39-41be-973a-5b547d7e9339}</x14:id>
        </ext>
      </extLst>
    </cfRule>
  </conditionalFormatting>
  <pageMargins left="0.75" right="0.75" top="1" bottom="1" header="0.5" footer="0.5"/>
  <headerFooter/>
  <ignoredErrors>
    <ignoredError sqref="A2:A33" twoDigitTextYear="1"/>
  </ignoredErrors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be8cdb5-0a39-41be-973a-5b547d7e93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E$1:E$1048576</xm:sqref>
        </x14:conditionalFormatting>
        <x14:conditionalFormatting xmlns:xm="http://schemas.microsoft.com/office/excel/2006/main">
          <x14:cfRule type="containsText" priority="2" operator="containsText" id="{fe4485a1-a277-482c-82f1-3f59156a45c8}">
            <xm:f>NOT(ISERROR(SEARCH($G$2,G1)))</xm:f>
            <xm:f>$G$2</xm:f>
            <x14:dxf>
              <font>
                <color rgb="FF9C0006"/>
              </font>
              <fill>
                <patternFill patternType="solid">
                  <bgColor rgb="FFFFC7CE"/>
                </patternFill>
              </fill>
            </x14:dxf>
          </x14:cfRule>
          <xm:sqref>G$1:G$1048576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Dataset</vt:lpstr>
      <vt:lpstr>Workout sheet</vt:lpstr>
      <vt:lpstr>full clean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kalai</cp:lastModifiedBy>
  <dcterms:created xsi:type="dcterms:W3CDTF">2026-05-29T06:53:00Z</dcterms:created>
  <dcterms:modified xsi:type="dcterms:W3CDTF">2026-05-30T19:09:40Z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EE52C591088B40A8BC57072E57127F02_13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